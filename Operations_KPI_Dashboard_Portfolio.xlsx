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f9b7b2d5173878/Desktop/culture/"/>
    </mc:Choice>
  </mc:AlternateContent>
  <xr:revisionPtr revIDLastSave="811" documentId="8_{043F3443-63F4-4550-B577-83D062FE60A2}" xr6:coauthVersionLast="47" xr6:coauthVersionMax="47" xr10:uidLastSave="{36432C92-3088-442D-BC41-CBAD9D15E781}"/>
  <bookViews>
    <workbookView xWindow="-108" yWindow="-108" windowWidth="23256" windowHeight="14616" activeTab="1" xr2:uid="{9675080A-2D96-4A52-A8A6-F75D97C98132}"/>
  </bookViews>
  <sheets>
    <sheet name="pivot" sheetId="1" r:id="rId1"/>
    <sheet name="dashboard-cage2" sheetId="2" r:id="rId2"/>
    <sheet name="dashboard-cage3" sheetId="4" r:id="rId3"/>
  </sheet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4" i="1" l="1"/>
  <c r="AZ3" i="1"/>
  <c r="AZ2" i="1"/>
  <c r="D4" i="1"/>
  <c r="E4" i="1"/>
  <c r="C4" i="1"/>
  <c r="Z3" i="1"/>
  <c r="AE4" i="1"/>
  <c r="AD4" i="1"/>
  <c r="AC4" i="1"/>
  <c r="AB4" i="1"/>
  <c r="AA4" i="1"/>
  <c r="Z4" i="1"/>
  <c r="B4" i="1"/>
  <c r="A4" i="1"/>
  <c r="Z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age2" description="Connection to the 'cage2' query in the workbook." type="5" refreshedVersion="0" background="1">
    <dbPr connection="Provider=Microsoft.Mashup.OleDb.1;Data Source=$Workbook$;Location=cage2;Extended Properties=&quot;&quot;" command="SELECT * FROM [cage2]"/>
  </connection>
  <connection id="2" xr16:uid="{00000000-0015-0000-FFFF-FFFF01000000}" keepAlive="1" name="Query - cage2 (2)" description="Connection to the 'cage2 (2)' query in the workbook." type="5" refreshedVersion="8" background="1">
    <dbPr connection="Provider=Microsoft.Mashup.OleDb.1;Data Source=$Workbook$;Location=&quot;cage2 (2)&quot;;Extended Properties=&quot;&quot;" command="SELECT * FROM [cage2 (2)]"/>
  </connection>
  <connection id="3" xr16:uid="{00000000-0015-0000-FFFF-FFFF02000000}" keepAlive="1" name="Query - cage3" description="Connection to the 'cage3' query in the workbook." type="5" refreshedVersion="0" background="1">
    <dbPr connection="Provider=Microsoft.Mashup.OleDb.1;Data Source=$Workbook$;Location=cage3;Extended Properties=&quot;&quot;" command="SELECT * FROM [cage3]"/>
  </connection>
  <connection id="4" xr16:uid="{00000000-0015-0000-FFFF-FFFF03000000}" keepAlive="1" name="Query - cage3 (2)" description="Connection to the 'cage3 (2)' query in the workbook." type="5" refreshedVersion="8" background="1">
    <dbPr connection="Provider=Microsoft.Mashup.OleDb.1;Data Source=$Workbook$;Location=&quot;cage3 (2)&quot;;Extended Properties=&quot;&quot;" command="SELECT * FROM [cage3 (2)]"/>
  </connection>
</connections>
</file>

<file path=xl/sharedStrings.xml><?xml version="1.0" encoding="utf-8"?>
<sst xmlns="http://schemas.openxmlformats.org/spreadsheetml/2006/main" count="82" uniqueCount="27">
  <si>
    <t>Max of abw (kg)</t>
  </si>
  <si>
    <t>Min of actual population</t>
  </si>
  <si>
    <t>Min of actual SR</t>
  </si>
  <si>
    <t>Max of biomass (kg)</t>
  </si>
  <si>
    <t>Max of feed/cum (kg)</t>
  </si>
  <si>
    <t>Row Labels</t>
  </si>
  <si>
    <t>Sum of feed/cum (kg)</t>
  </si>
  <si>
    <t>Sum of feed/day (kg)</t>
  </si>
  <si>
    <t>Sum of actual population</t>
  </si>
  <si>
    <t>Sum of actual SR</t>
  </si>
  <si>
    <t>Sum of dead/day</t>
  </si>
  <si>
    <t>Sum of abw (kg)</t>
  </si>
  <si>
    <t>Sum of GC#1</t>
  </si>
  <si>
    <t>Sum of GC#2</t>
  </si>
  <si>
    <t>Sum of feed/bag</t>
  </si>
  <si>
    <t>Sum of gram</t>
  </si>
  <si>
    <t>Sum of FCR</t>
  </si>
  <si>
    <t>Sum of doc</t>
  </si>
  <si>
    <t>-</t>
  </si>
  <si>
    <t>Garlic Powder</t>
  </si>
  <si>
    <t>GC</t>
  </si>
  <si>
    <t>Gut Heart Enhancer</t>
  </si>
  <si>
    <t>Grand Total</t>
  </si>
  <si>
    <t>Liver Guard</t>
  </si>
  <si>
    <t>Enrofloxacin</t>
  </si>
  <si>
    <t>Florfenicol</t>
  </si>
  <si>
    <t>3pek Glukosa (3包葡萄糖)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</si>
</sst>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1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11">
    <dxf>
      <numFmt numFmtId="14" formatCode="0.00%"/>
    </dxf>
    <dxf>
      <numFmt numFmtId="164" formatCode="[$-409]d\-mmm\-yy;@"/>
    </dxf>
    <dxf>
      <numFmt numFmtId="164" formatCode="[$-409]d\-mmm\-yy;@"/>
    </dxf>
    <dxf>
      <numFmt numFmtId="164" formatCode="[$-409]d\-mmm\-yy;@"/>
    </dxf>
    <dxf>
      <numFmt numFmtId="164" formatCode="[$-409]d\-mmm\-yy;@"/>
    </dxf>
    <dxf>
      <numFmt numFmtId="165" formatCode="[$-F800]dddd\,\ mmmm\ dd\,\ 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[Operations_KPI_Dashboard_Portfolio.xlsx]pivot!PivotTable31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</a:t>
            </a:r>
            <a:r>
              <a:rPr lang="en-US" baseline="0"/>
              <a:t>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329284144087598E-2"/>
          <c:y val="0.17171296296296296"/>
          <c:w val="0.83542544353621551"/>
          <c:h val="0.64949839603382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pivot!$G$1</c:f>
              <c:strCache>
                <c:ptCount val="1"/>
                <c:pt idx="0">
                  <c:v>Sum of feed/cum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pivot!$F$2:$F$106</c:f>
              <c:strCache>
                <c:ptCount val="104"/>
                <c:pt idx="0">
                  <c:v>4/29/2026</c:v>
                </c:pt>
                <c:pt idx="1">
                  <c:v>4/30/2026</c:v>
                </c:pt>
                <c:pt idx="2">
                  <c:v>5/1/2026</c:v>
                </c:pt>
                <c:pt idx="3">
                  <c:v>5/2/2026</c:v>
                </c:pt>
                <c:pt idx="4">
                  <c:v>5/3/2026</c:v>
                </c:pt>
                <c:pt idx="5">
                  <c:v>5/4/2026</c:v>
                </c:pt>
                <c:pt idx="6">
                  <c:v>5/5/2026</c:v>
                </c:pt>
                <c:pt idx="7">
                  <c:v>5/6/2026</c:v>
                </c:pt>
                <c:pt idx="8">
                  <c:v>5/7/2026</c:v>
                </c:pt>
                <c:pt idx="9">
                  <c:v>5/8/2026</c:v>
                </c:pt>
                <c:pt idx="10">
                  <c:v>5/9/2026</c:v>
                </c:pt>
                <c:pt idx="11">
                  <c:v>5/10/2026</c:v>
                </c:pt>
                <c:pt idx="12">
                  <c:v>5/11/2026</c:v>
                </c:pt>
                <c:pt idx="13">
                  <c:v>5/12/2026</c:v>
                </c:pt>
                <c:pt idx="14">
                  <c:v>5/13/2026</c:v>
                </c:pt>
                <c:pt idx="15">
                  <c:v>5/14/2026</c:v>
                </c:pt>
                <c:pt idx="16">
                  <c:v>5/15/2026</c:v>
                </c:pt>
                <c:pt idx="17">
                  <c:v>5/16/2026</c:v>
                </c:pt>
                <c:pt idx="18">
                  <c:v>5/17/2026</c:v>
                </c:pt>
                <c:pt idx="19">
                  <c:v>5/18/2026</c:v>
                </c:pt>
                <c:pt idx="20">
                  <c:v>5/19/2026</c:v>
                </c:pt>
                <c:pt idx="21">
                  <c:v>5/20/2026</c:v>
                </c:pt>
                <c:pt idx="22">
                  <c:v>5/21/2026</c:v>
                </c:pt>
                <c:pt idx="23">
                  <c:v>5/22/2026</c:v>
                </c:pt>
                <c:pt idx="24">
                  <c:v>5/23/2026</c:v>
                </c:pt>
                <c:pt idx="25">
                  <c:v>5/24/2026</c:v>
                </c:pt>
                <c:pt idx="26">
                  <c:v>5/25/2026</c:v>
                </c:pt>
                <c:pt idx="27">
                  <c:v>5/26/2026</c:v>
                </c:pt>
                <c:pt idx="28">
                  <c:v>5/27/2026</c:v>
                </c:pt>
                <c:pt idx="29">
                  <c:v>5/28/2026</c:v>
                </c:pt>
                <c:pt idx="30">
                  <c:v>5/29/2026</c:v>
                </c:pt>
                <c:pt idx="31">
                  <c:v>5/30/2026</c:v>
                </c:pt>
                <c:pt idx="32">
                  <c:v>5/31/2026</c:v>
                </c:pt>
                <c:pt idx="33">
                  <c:v>6/1/2026</c:v>
                </c:pt>
                <c:pt idx="34">
                  <c:v>6/2/2026</c:v>
                </c:pt>
                <c:pt idx="35">
                  <c:v>6/3/2026</c:v>
                </c:pt>
                <c:pt idx="36">
                  <c:v>6/4/2026</c:v>
                </c:pt>
                <c:pt idx="37">
                  <c:v>6/5/2026</c:v>
                </c:pt>
                <c:pt idx="38">
                  <c:v>6/6/2026</c:v>
                </c:pt>
                <c:pt idx="39">
                  <c:v>6/7/2026</c:v>
                </c:pt>
                <c:pt idx="40">
                  <c:v>6/8/2026</c:v>
                </c:pt>
                <c:pt idx="41">
                  <c:v>6/9/2026</c:v>
                </c:pt>
                <c:pt idx="42">
                  <c:v>6/10/2026</c:v>
                </c:pt>
                <c:pt idx="43">
                  <c:v>6/11/2026</c:v>
                </c:pt>
                <c:pt idx="44">
                  <c:v>6/12/2026</c:v>
                </c:pt>
                <c:pt idx="45">
                  <c:v>6/13/2026</c:v>
                </c:pt>
                <c:pt idx="46">
                  <c:v>6/14/2026</c:v>
                </c:pt>
                <c:pt idx="47">
                  <c:v>6/15/2026</c:v>
                </c:pt>
                <c:pt idx="48">
                  <c:v>6/16/2026</c:v>
                </c:pt>
                <c:pt idx="49">
                  <c:v>6/17/2026</c:v>
                </c:pt>
                <c:pt idx="50">
                  <c:v>6/18/2026</c:v>
                </c:pt>
                <c:pt idx="51">
                  <c:v>6/19/2026</c:v>
                </c:pt>
                <c:pt idx="52">
                  <c:v>6/20/2026</c:v>
                </c:pt>
                <c:pt idx="53">
                  <c:v>6/21/2026</c:v>
                </c:pt>
                <c:pt idx="54">
                  <c:v>6/22/2026</c:v>
                </c:pt>
                <c:pt idx="55">
                  <c:v>6/23/2026</c:v>
                </c:pt>
                <c:pt idx="56">
                  <c:v>6/24/2026</c:v>
                </c:pt>
                <c:pt idx="57">
                  <c:v>6/25/2026</c:v>
                </c:pt>
                <c:pt idx="58">
                  <c:v>6/26/2026</c:v>
                </c:pt>
                <c:pt idx="59">
                  <c:v>6/27/2026</c:v>
                </c:pt>
                <c:pt idx="60">
                  <c:v>6/28/2026</c:v>
                </c:pt>
                <c:pt idx="61">
                  <c:v>6/29/2026</c:v>
                </c:pt>
                <c:pt idx="62">
                  <c:v>6/30/2026</c:v>
                </c:pt>
                <c:pt idx="63">
                  <c:v>7/1/2026</c:v>
                </c:pt>
                <c:pt idx="64">
                  <c:v>7/2/2026</c:v>
                </c:pt>
                <c:pt idx="65">
                  <c:v>7/3/2026</c:v>
                </c:pt>
                <c:pt idx="66">
                  <c:v>7/4/2026</c:v>
                </c:pt>
                <c:pt idx="67">
                  <c:v>7/5/2026</c:v>
                </c:pt>
                <c:pt idx="68">
                  <c:v>7/6/2026</c:v>
                </c:pt>
                <c:pt idx="69">
                  <c:v>7/7/2026</c:v>
                </c:pt>
                <c:pt idx="70">
                  <c:v>7/8/2026</c:v>
                </c:pt>
                <c:pt idx="71">
                  <c:v>7/9/2026</c:v>
                </c:pt>
                <c:pt idx="72">
                  <c:v>7/10/2026</c:v>
                </c:pt>
                <c:pt idx="73">
                  <c:v>7/11/2026</c:v>
                </c:pt>
                <c:pt idx="74">
                  <c:v>7/12/2026</c:v>
                </c:pt>
                <c:pt idx="75">
                  <c:v>7/13/2026</c:v>
                </c:pt>
                <c:pt idx="76">
                  <c:v>7/14/2026</c:v>
                </c:pt>
                <c:pt idx="77">
                  <c:v>7/15/2026</c:v>
                </c:pt>
                <c:pt idx="78">
                  <c:v>7/16/2026</c:v>
                </c:pt>
                <c:pt idx="79">
                  <c:v>7/17/2026</c:v>
                </c:pt>
                <c:pt idx="80">
                  <c:v>7/18/2026</c:v>
                </c:pt>
                <c:pt idx="81">
                  <c:v>7/19/2026</c:v>
                </c:pt>
                <c:pt idx="82">
                  <c:v>7/20/2026</c:v>
                </c:pt>
                <c:pt idx="83">
                  <c:v>7/21/2026</c:v>
                </c:pt>
                <c:pt idx="84">
                  <c:v>7/22/2026</c:v>
                </c:pt>
                <c:pt idx="85">
                  <c:v>7/23/2026</c:v>
                </c:pt>
                <c:pt idx="86">
                  <c:v>7/24/2026</c:v>
                </c:pt>
                <c:pt idx="87">
                  <c:v>7/25/2026</c:v>
                </c:pt>
                <c:pt idx="88">
                  <c:v>7/26/2026</c:v>
                </c:pt>
                <c:pt idx="89">
                  <c:v>7/27/2026</c:v>
                </c:pt>
                <c:pt idx="90">
                  <c:v>7/28/2026</c:v>
                </c:pt>
                <c:pt idx="91">
                  <c:v>7/29/2026</c:v>
                </c:pt>
                <c:pt idx="92">
                  <c:v>7/30/2026</c:v>
                </c:pt>
                <c:pt idx="93">
                  <c:v>7/31/2026</c:v>
                </c:pt>
                <c:pt idx="94">
                  <c:v>8/1/2026</c:v>
                </c:pt>
                <c:pt idx="95">
                  <c:v>8/2/2026</c:v>
                </c:pt>
                <c:pt idx="96">
                  <c:v>8/3/2026</c:v>
                </c:pt>
                <c:pt idx="97">
                  <c:v>8/4/2026</c:v>
                </c:pt>
                <c:pt idx="98">
                  <c:v>8/5/2026</c:v>
                </c:pt>
                <c:pt idx="99">
                  <c:v>8/6/2026</c:v>
                </c:pt>
                <c:pt idx="100">
                  <c:v>8/7/2026</c:v>
                </c:pt>
                <c:pt idx="101">
                  <c:v>8/8/2026</c:v>
                </c:pt>
                <c:pt idx="102">
                  <c:v>8/9/2026</c:v>
                </c:pt>
                <c:pt idx="103">
                  <c:v>8/10/2026</c:v>
                </c:pt>
              </c:strCache>
            </c:strRef>
          </c:cat>
          <c:val>
            <c:numRef>
              <c:f>pivot!$G$2:$G$106</c:f>
              <c:numCache>
                <c:formatCode>General</c:formatCode>
                <c:ptCount val="104"/>
                <c:pt idx="2">
                  <c:v>40</c:v>
                </c:pt>
                <c:pt idx="3">
                  <c:v>80</c:v>
                </c:pt>
                <c:pt idx="4">
                  <c:v>120</c:v>
                </c:pt>
                <c:pt idx="5">
                  <c:v>180</c:v>
                </c:pt>
                <c:pt idx="6">
                  <c:v>240</c:v>
                </c:pt>
                <c:pt idx="7">
                  <c:v>300</c:v>
                </c:pt>
                <c:pt idx="8">
                  <c:v>360</c:v>
                </c:pt>
                <c:pt idx="9">
                  <c:v>420</c:v>
                </c:pt>
                <c:pt idx="10">
                  <c:v>480</c:v>
                </c:pt>
                <c:pt idx="11">
                  <c:v>540</c:v>
                </c:pt>
                <c:pt idx="12">
                  <c:v>620</c:v>
                </c:pt>
                <c:pt idx="13">
                  <c:v>700</c:v>
                </c:pt>
                <c:pt idx="14">
                  <c:v>780</c:v>
                </c:pt>
                <c:pt idx="15">
                  <c:v>860</c:v>
                </c:pt>
                <c:pt idx="16">
                  <c:v>940</c:v>
                </c:pt>
                <c:pt idx="17">
                  <c:v>1020</c:v>
                </c:pt>
                <c:pt idx="18">
                  <c:v>1100</c:v>
                </c:pt>
                <c:pt idx="19">
                  <c:v>1200</c:v>
                </c:pt>
                <c:pt idx="20">
                  <c:v>1300</c:v>
                </c:pt>
                <c:pt idx="21">
                  <c:v>1400</c:v>
                </c:pt>
                <c:pt idx="22">
                  <c:v>1500</c:v>
                </c:pt>
                <c:pt idx="23">
                  <c:v>1600</c:v>
                </c:pt>
                <c:pt idx="24">
                  <c:v>1700</c:v>
                </c:pt>
                <c:pt idx="25">
                  <c:v>1800</c:v>
                </c:pt>
                <c:pt idx="26">
                  <c:v>1900</c:v>
                </c:pt>
                <c:pt idx="27">
                  <c:v>2000</c:v>
                </c:pt>
                <c:pt idx="28">
                  <c:v>2100</c:v>
                </c:pt>
                <c:pt idx="29">
                  <c:v>2200</c:v>
                </c:pt>
                <c:pt idx="30">
                  <c:v>2300</c:v>
                </c:pt>
                <c:pt idx="31">
                  <c:v>2420</c:v>
                </c:pt>
                <c:pt idx="32">
                  <c:v>2540</c:v>
                </c:pt>
                <c:pt idx="33">
                  <c:v>2660</c:v>
                </c:pt>
                <c:pt idx="34">
                  <c:v>2780</c:v>
                </c:pt>
                <c:pt idx="35">
                  <c:v>2900</c:v>
                </c:pt>
                <c:pt idx="36">
                  <c:v>3020</c:v>
                </c:pt>
                <c:pt idx="37">
                  <c:v>3160</c:v>
                </c:pt>
                <c:pt idx="38">
                  <c:v>3300</c:v>
                </c:pt>
                <c:pt idx="39">
                  <c:v>3440</c:v>
                </c:pt>
                <c:pt idx="40">
                  <c:v>3600</c:v>
                </c:pt>
                <c:pt idx="41">
                  <c:v>3760</c:v>
                </c:pt>
                <c:pt idx="42">
                  <c:v>3920</c:v>
                </c:pt>
                <c:pt idx="43">
                  <c:v>4080</c:v>
                </c:pt>
                <c:pt idx="44">
                  <c:v>4200</c:v>
                </c:pt>
                <c:pt idx="45">
                  <c:v>4300</c:v>
                </c:pt>
                <c:pt idx="46">
                  <c:v>4420</c:v>
                </c:pt>
                <c:pt idx="47">
                  <c:v>4540</c:v>
                </c:pt>
                <c:pt idx="48">
                  <c:v>4660</c:v>
                </c:pt>
                <c:pt idx="49">
                  <c:v>4780</c:v>
                </c:pt>
                <c:pt idx="50">
                  <c:v>4900</c:v>
                </c:pt>
                <c:pt idx="51">
                  <c:v>5040</c:v>
                </c:pt>
                <c:pt idx="52">
                  <c:v>5160</c:v>
                </c:pt>
                <c:pt idx="53">
                  <c:v>5300</c:v>
                </c:pt>
                <c:pt idx="54">
                  <c:v>5460</c:v>
                </c:pt>
                <c:pt idx="55">
                  <c:v>5640</c:v>
                </c:pt>
                <c:pt idx="56">
                  <c:v>5820</c:v>
                </c:pt>
                <c:pt idx="57">
                  <c:v>6020</c:v>
                </c:pt>
                <c:pt idx="58">
                  <c:v>6240</c:v>
                </c:pt>
                <c:pt idx="59">
                  <c:v>6460</c:v>
                </c:pt>
                <c:pt idx="60">
                  <c:v>6660</c:v>
                </c:pt>
                <c:pt idx="61">
                  <c:v>6820</c:v>
                </c:pt>
                <c:pt idx="62">
                  <c:v>7060</c:v>
                </c:pt>
                <c:pt idx="63">
                  <c:v>7320</c:v>
                </c:pt>
                <c:pt idx="64">
                  <c:v>7600</c:v>
                </c:pt>
                <c:pt idx="65">
                  <c:v>7880</c:v>
                </c:pt>
                <c:pt idx="66">
                  <c:v>8040</c:v>
                </c:pt>
                <c:pt idx="67">
                  <c:v>8360</c:v>
                </c:pt>
                <c:pt idx="68">
                  <c:v>8680</c:v>
                </c:pt>
                <c:pt idx="69">
                  <c:v>9020</c:v>
                </c:pt>
                <c:pt idx="70">
                  <c:v>9300</c:v>
                </c:pt>
                <c:pt idx="71">
                  <c:v>9540</c:v>
                </c:pt>
                <c:pt idx="72">
                  <c:v>9780</c:v>
                </c:pt>
                <c:pt idx="73">
                  <c:v>10000</c:v>
                </c:pt>
                <c:pt idx="74">
                  <c:v>10200</c:v>
                </c:pt>
                <c:pt idx="75">
                  <c:v>10400</c:v>
                </c:pt>
                <c:pt idx="76">
                  <c:v>10560</c:v>
                </c:pt>
                <c:pt idx="77">
                  <c:v>10720</c:v>
                </c:pt>
                <c:pt idx="78">
                  <c:v>10920</c:v>
                </c:pt>
                <c:pt idx="79">
                  <c:v>11000</c:v>
                </c:pt>
                <c:pt idx="80">
                  <c:v>11020</c:v>
                </c:pt>
                <c:pt idx="81">
                  <c:v>11080</c:v>
                </c:pt>
                <c:pt idx="82">
                  <c:v>11280</c:v>
                </c:pt>
                <c:pt idx="83">
                  <c:v>11520</c:v>
                </c:pt>
                <c:pt idx="84">
                  <c:v>11760</c:v>
                </c:pt>
                <c:pt idx="85">
                  <c:v>12040</c:v>
                </c:pt>
                <c:pt idx="86">
                  <c:v>12280</c:v>
                </c:pt>
                <c:pt idx="87">
                  <c:v>12560</c:v>
                </c:pt>
                <c:pt idx="88">
                  <c:v>12800</c:v>
                </c:pt>
                <c:pt idx="89">
                  <c:v>13100</c:v>
                </c:pt>
                <c:pt idx="90">
                  <c:v>13420</c:v>
                </c:pt>
                <c:pt idx="91">
                  <c:v>13740</c:v>
                </c:pt>
                <c:pt idx="92">
                  <c:v>14060</c:v>
                </c:pt>
                <c:pt idx="93">
                  <c:v>14420</c:v>
                </c:pt>
                <c:pt idx="94">
                  <c:v>14820</c:v>
                </c:pt>
                <c:pt idx="95">
                  <c:v>15220</c:v>
                </c:pt>
                <c:pt idx="96">
                  <c:v>15620</c:v>
                </c:pt>
                <c:pt idx="97">
                  <c:v>16020</c:v>
                </c:pt>
                <c:pt idx="98">
                  <c:v>16340</c:v>
                </c:pt>
                <c:pt idx="99">
                  <c:v>16660</c:v>
                </c:pt>
                <c:pt idx="100">
                  <c:v>16980</c:v>
                </c:pt>
                <c:pt idx="101">
                  <c:v>17300</c:v>
                </c:pt>
                <c:pt idx="102">
                  <c:v>17620</c:v>
                </c:pt>
                <c:pt idx="103">
                  <c:v>17940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D-48BF-B8C3-35C11FB25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752144"/>
        <c:axId val="217510959"/>
      </c:barChart>
      <c:lineChart>
        <c:grouping val="standard"/>
        <c:varyColors val="0"/>
        <c:ser>
          <c:idx val="1"/>
          <c:order val="1"/>
          <c:tx>
            <c:strRef>
              <c:f>pivot!$H$1</c:f>
              <c:strCache>
                <c:ptCount val="1"/>
                <c:pt idx="0">
                  <c:v>Sum of feed/day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pivot!$F$2:$F$106</c:f>
              <c:strCache>
                <c:ptCount val="104"/>
                <c:pt idx="0">
                  <c:v>4/29/2026</c:v>
                </c:pt>
                <c:pt idx="1">
                  <c:v>4/30/2026</c:v>
                </c:pt>
                <c:pt idx="2">
                  <c:v>5/1/2026</c:v>
                </c:pt>
                <c:pt idx="3">
                  <c:v>5/2/2026</c:v>
                </c:pt>
                <c:pt idx="4">
                  <c:v>5/3/2026</c:v>
                </c:pt>
                <c:pt idx="5">
                  <c:v>5/4/2026</c:v>
                </c:pt>
                <c:pt idx="6">
                  <c:v>5/5/2026</c:v>
                </c:pt>
                <c:pt idx="7">
                  <c:v>5/6/2026</c:v>
                </c:pt>
                <c:pt idx="8">
                  <c:v>5/7/2026</c:v>
                </c:pt>
                <c:pt idx="9">
                  <c:v>5/8/2026</c:v>
                </c:pt>
                <c:pt idx="10">
                  <c:v>5/9/2026</c:v>
                </c:pt>
                <c:pt idx="11">
                  <c:v>5/10/2026</c:v>
                </c:pt>
                <c:pt idx="12">
                  <c:v>5/11/2026</c:v>
                </c:pt>
                <c:pt idx="13">
                  <c:v>5/12/2026</c:v>
                </c:pt>
                <c:pt idx="14">
                  <c:v>5/13/2026</c:v>
                </c:pt>
                <c:pt idx="15">
                  <c:v>5/14/2026</c:v>
                </c:pt>
                <c:pt idx="16">
                  <c:v>5/15/2026</c:v>
                </c:pt>
                <c:pt idx="17">
                  <c:v>5/16/2026</c:v>
                </c:pt>
                <c:pt idx="18">
                  <c:v>5/17/2026</c:v>
                </c:pt>
                <c:pt idx="19">
                  <c:v>5/18/2026</c:v>
                </c:pt>
                <c:pt idx="20">
                  <c:v>5/19/2026</c:v>
                </c:pt>
                <c:pt idx="21">
                  <c:v>5/20/2026</c:v>
                </c:pt>
                <c:pt idx="22">
                  <c:v>5/21/2026</c:v>
                </c:pt>
                <c:pt idx="23">
                  <c:v>5/22/2026</c:v>
                </c:pt>
                <c:pt idx="24">
                  <c:v>5/23/2026</c:v>
                </c:pt>
                <c:pt idx="25">
                  <c:v>5/24/2026</c:v>
                </c:pt>
                <c:pt idx="26">
                  <c:v>5/25/2026</c:v>
                </c:pt>
                <c:pt idx="27">
                  <c:v>5/26/2026</c:v>
                </c:pt>
                <c:pt idx="28">
                  <c:v>5/27/2026</c:v>
                </c:pt>
                <c:pt idx="29">
                  <c:v>5/28/2026</c:v>
                </c:pt>
                <c:pt idx="30">
                  <c:v>5/29/2026</c:v>
                </c:pt>
                <c:pt idx="31">
                  <c:v>5/30/2026</c:v>
                </c:pt>
                <c:pt idx="32">
                  <c:v>5/31/2026</c:v>
                </c:pt>
                <c:pt idx="33">
                  <c:v>6/1/2026</c:v>
                </c:pt>
                <c:pt idx="34">
                  <c:v>6/2/2026</c:v>
                </c:pt>
                <c:pt idx="35">
                  <c:v>6/3/2026</c:v>
                </c:pt>
                <c:pt idx="36">
                  <c:v>6/4/2026</c:v>
                </c:pt>
                <c:pt idx="37">
                  <c:v>6/5/2026</c:v>
                </c:pt>
                <c:pt idx="38">
                  <c:v>6/6/2026</c:v>
                </c:pt>
                <c:pt idx="39">
                  <c:v>6/7/2026</c:v>
                </c:pt>
                <c:pt idx="40">
                  <c:v>6/8/2026</c:v>
                </c:pt>
                <c:pt idx="41">
                  <c:v>6/9/2026</c:v>
                </c:pt>
                <c:pt idx="42">
                  <c:v>6/10/2026</c:v>
                </c:pt>
                <c:pt idx="43">
                  <c:v>6/11/2026</c:v>
                </c:pt>
                <c:pt idx="44">
                  <c:v>6/12/2026</c:v>
                </c:pt>
                <c:pt idx="45">
                  <c:v>6/13/2026</c:v>
                </c:pt>
                <c:pt idx="46">
                  <c:v>6/14/2026</c:v>
                </c:pt>
                <c:pt idx="47">
                  <c:v>6/15/2026</c:v>
                </c:pt>
                <c:pt idx="48">
                  <c:v>6/16/2026</c:v>
                </c:pt>
                <c:pt idx="49">
                  <c:v>6/17/2026</c:v>
                </c:pt>
                <c:pt idx="50">
                  <c:v>6/18/2026</c:v>
                </c:pt>
                <c:pt idx="51">
                  <c:v>6/19/2026</c:v>
                </c:pt>
                <c:pt idx="52">
                  <c:v>6/20/2026</c:v>
                </c:pt>
                <c:pt idx="53">
                  <c:v>6/21/2026</c:v>
                </c:pt>
                <c:pt idx="54">
                  <c:v>6/22/2026</c:v>
                </c:pt>
                <c:pt idx="55">
                  <c:v>6/23/2026</c:v>
                </c:pt>
                <c:pt idx="56">
                  <c:v>6/24/2026</c:v>
                </c:pt>
                <c:pt idx="57">
                  <c:v>6/25/2026</c:v>
                </c:pt>
                <c:pt idx="58">
                  <c:v>6/26/2026</c:v>
                </c:pt>
                <c:pt idx="59">
                  <c:v>6/27/2026</c:v>
                </c:pt>
                <c:pt idx="60">
                  <c:v>6/28/2026</c:v>
                </c:pt>
                <c:pt idx="61">
                  <c:v>6/29/2026</c:v>
                </c:pt>
                <c:pt idx="62">
                  <c:v>6/30/2026</c:v>
                </c:pt>
                <c:pt idx="63">
                  <c:v>7/1/2026</c:v>
                </c:pt>
                <c:pt idx="64">
                  <c:v>7/2/2026</c:v>
                </c:pt>
                <c:pt idx="65">
                  <c:v>7/3/2026</c:v>
                </c:pt>
                <c:pt idx="66">
                  <c:v>7/4/2026</c:v>
                </c:pt>
                <c:pt idx="67">
                  <c:v>7/5/2026</c:v>
                </c:pt>
                <c:pt idx="68">
                  <c:v>7/6/2026</c:v>
                </c:pt>
                <c:pt idx="69">
                  <c:v>7/7/2026</c:v>
                </c:pt>
                <c:pt idx="70">
                  <c:v>7/8/2026</c:v>
                </c:pt>
                <c:pt idx="71">
                  <c:v>7/9/2026</c:v>
                </c:pt>
                <c:pt idx="72">
                  <c:v>7/10/2026</c:v>
                </c:pt>
                <c:pt idx="73">
                  <c:v>7/11/2026</c:v>
                </c:pt>
                <c:pt idx="74">
                  <c:v>7/12/2026</c:v>
                </c:pt>
                <c:pt idx="75">
                  <c:v>7/13/2026</c:v>
                </c:pt>
                <c:pt idx="76">
                  <c:v>7/14/2026</c:v>
                </c:pt>
                <c:pt idx="77">
                  <c:v>7/15/2026</c:v>
                </c:pt>
                <c:pt idx="78">
                  <c:v>7/16/2026</c:v>
                </c:pt>
                <c:pt idx="79">
                  <c:v>7/17/2026</c:v>
                </c:pt>
                <c:pt idx="80">
                  <c:v>7/18/2026</c:v>
                </c:pt>
                <c:pt idx="81">
                  <c:v>7/19/2026</c:v>
                </c:pt>
                <c:pt idx="82">
                  <c:v>7/20/2026</c:v>
                </c:pt>
                <c:pt idx="83">
                  <c:v>7/21/2026</c:v>
                </c:pt>
                <c:pt idx="84">
                  <c:v>7/22/2026</c:v>
                </c:pt>
                <c:pt idx="85">
                  <c:v>7/23/2026</c:v>
                </c:pt>
                <c:pt idx="86">
                  <c:v>7/24/2026</c:v>
                </c:pt>
                <c:pt idx="87">
                  <c:v>7/25/2026</c:v>
                </c:pt>
                <c:pt idx="88">
                  <c:v>7/26/2026</c:v>
                </c:pt>
                <c:pt idx="89">
                  <c:v>7/27/2026</c:v>
                </c:pt>
                <c:pt idx="90">
                  <c:v>7/28/2026</c:v>
                </c:pt>
                <c:pt idx="91">
                  <c:v>7/29/2026</c:v>
                </c:pt>
                <c:pt idx="92">
                  <c:v>7/30/2026</c:v>
                </c:pt>
                <c:pt idx="93">
                  <c:v>7/31/2026</c:v>
                </c:pt>
                <c:pt idx="94">
                  <c:v>8/1/2026</c:v>
                </c:pt>
                <c:pt idx="95">
                  <c:v>8/2/2026</c:v>
                </c:pt>
                <c:pt idx="96">
                  <c:v>8/3/2026</c:v>
                </c:pt>
                <c:pt idx="97">
                  <c:v>8/4/2026</c:v>
                </c:pt>
                <c:pt idx="98">
                  <c:v>8/5/2026</c:v>
                </c:pt>
                <c:pt idx="99">
                  <c:v>8/6/2026</c:v>
                </c:pt>
                <c:pt idx="100">
                  <c:v>8/7/2026</c:v>
                </c:pt>
                <c:pt idx="101">
                  <c:v>8/8/2026</c:v>
                </c:pt>
                <c:pt idx="102">
                  <c:v>8/9/2026</c:v>
                </c:pt>
                <c:pt idx="103">
                  <c:v>8/10/2026</c:v>
                </c:pt>
              </c:strCache>
            </c:strRef>
          </c:cat>
          <c:val>
            <c:numRef>
              <c:f>pivot!$H$2:$H$106</c:f>
              <c:numCache>
                <c:formatCode>General</c:formatCode>
                <c:ptCount val="104"/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140</c:v>
                </c:pt>
                <c:pt idx="38">
                  <c:v>140</c:v>
                </c:pt>
                <c:pt idx="39">
                  <c:v>140</c:v>
                </c:pt>
                <c:pt idx="40">
                  <c:v>160</c:v>
                </c:pt>
                <c:pt idx="41">
                  <c:v>160</c:v>
                </c:pt>
                <c:pt idx="42">
                  <c:v>160</c:v>
                </c:pt>
                <c:pt idx="43">
                  <c:v>160</c:v>
                </c:pt>
                <c:pt idx="44">
                  <c:v>120</c:v>
                </c:pt>
                <c:pt idx="45">
                  <c:v>100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140</c:v>
                </c:pt>
                <c:pt idx="52">
                  <c:v>120</c:v>
                </c:pt>
                <c:pt idx="53">
                  <c:v>140</c:v>
                </c:pt>
                <c:pt idx="54">
                  <c:v>160</c:v>
                </c:pt>
                <c:pt idx="55">
                  <c:v>180</c:v>
                </c:pt>
                <c:pt idx="56">
                  <c:v>180</c:v>
                </c:pt>
                <c:pt idx="57">
                  <c:v>200</c:v>
                </c:pt>
                <c:pt idx="58">
                  <c:v>220</c:v>
                </c:pt>
                <c:pt idx="59">
                  <c:v>220</c:v>
                </c:pt>
                <c:pt idx="60">
                  <c:v>200</c:v>
                </c:pt>
                <c:pt idx="61">
                  <c:v>160</c:v>
                </c:pt>
                <c:pt idx="62">
                  <c:v>240</c:v>
                </c:pt>
                <c:pt idx="63">
                  <c:v>260</c:v>
                </c:pt>
                <c:pt idx="64">
                  <c:v>280</c:v>
                </c:pt>
                <c:pt idx="65">
                  <c:v>280</c:v>
                </c:pt>
                <c:pt idx="66">
                  <c:v>160</c:v>
                </c:pt>
                <c:pt idx="67">
                  <c:v>320</c:v>
                </c:pt>
                <c:pt idx="68">
                  <c:v>320</c:v>
                </c:pt>
                <c:pt idx="69">
                  <c:v>340</c:v>
                </c:pt>
                <c:pt idx="70">
                  <c:v>280</c:v>
                </c:pt>
                <c:pt idx="71">
                  <c:v>240</c:v>
                </c:pt>
                <c:pt idx="72">
                  <c:v>240</c:v>
                </c:pt>
                <c:pt idx="73">
                  <c:v>220</c:v>
                </c:pt>
                <c:pt idx="74">
                  <c:v>200</c:v>
                </c:pt>
                <c:pt idx="75">
                  <c:v>200</c:v>
                </c:pt>
                <c:pt idx="76">
                  <c:v>160</c:v>
                </c:pt>
                <c:pt idx="77">
                  <c:v>160</c:v>
                </c:pt>
                <c:pt idx="78">
                  <c:v>200</c:v>
                </c:pt>
                <c:pt idx="79">
                  <c:v>80</c:v>
                </c:pt>
                <c:pt idx="80">
                  <c:v>20</c:v>
                </c:pt>
                <c:pt idx="81">
                  <c:v>60</c:v>
                </c:pt>
                <c:pt idx="82">
                  <c:v>200</c:v>
                </c:pt>
                <c:pt idx="83">
                  <c:v>240</c:v>
                </c:pt>
                <c:pt idx="84">
                  <c:v>240</c:v>
                </c:pt>
                <c:pt idx="85">
                  <c:v>280</c:v>
                </c:pt>
                <c:pt idx="86">
                  <c:v>240</c:v>
                </c:pt>
                <c:pt idx="87">
                  <c:v>280</c:v>
                </c:pt>
                <c:pt idx="88">
                  <c:v>240</c:v>
                </c:pt>
                <c:pt idx="89">
                  <c:v>300</c:v>
                </c:pt>
                <c:pt idx="90">
                  <c:v>320</c:v>
                </c:pt>
                <c:pt idx="91">
                  <c:v>320</c:v>
                </c:pt>
                <c:pt idx="92">
                  <c:v>320</c:v>
                </c:pt>
                <c:pt idx="93">
                  <c:v>360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320</c:v>
                </c:pt>
                <c:pt idx="99">
                  <c:v>320</c:v>
                </c:pt>
                <c:pt idx="100">
                  <c:v>320</c:v>
                </c:pt>
                <c:pt idx="101">
                  <c:v>320</c:v>
                </c:pt>
                <c:pt idx="102">
                  <c:v>320</c:v>
                </c:pt>
                <c:pt idx="103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D-48BF-B8C3-35C11FB25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768384"/>
        <c:axId val="217506159"/>
      </c:lineChart>
      <c:catAx>
        <c:axId val="709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10959"/>
        <c:crosses val="autoZero"/>
        <c:auto val="1"/>
        <c:lblAlgn val="ctr"/>
        <c:lblOffset val="100"/>
        <c:noMultiLvlLbl val="0"/>
      </c:catAx>
      <c:valAx>
        <c:axId val="2175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52144"/>
        <c:crosses val="autoZero"/>
        <c:crossBetween val="between"/>
      </c:valAx>
      <c:valAx>
        <c:axId val="2175061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68384"/>
        <c:crosses val="max"/>
        <c:crossBetween val="between"/>
      </c:valAx>
      <c:catAx>
        <c:axId val="70976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7506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43809719026712"/>
          <c:y val="5.1712233887430709E-2"/>
          <c:w val="0.57154575517765949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[Operations_KPI_Dashboard_Portfolio.xlsx]pivot!PivotTable33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029159001674859E-2"/>
          <c:y val="0.17171296296296296"/>
          <c:w val="0.82404839698708621"/>
          <c:h val="0.64949839603382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pivot!$J$1</c:f>
              <c:strCache>
                <c:ptCount val="1"/>
                <c:pt idx="0">
                  <c:v>Sum of actual 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pivot!$I$2:$I$106</c:f>
              <c:strCache>
                <c:ptCount val="104"/>
                <c:pt idx="0">
                  <c:v>4/29/2026</c:v>
                </c:pt>
                <c:pt idx="1">
                  <c:v>4/30/2026</c:v>
                </c:pt>
                <c:pt idx="2">
                  <c:v>5/1/2026</c:v>
                </c:pt>
                <c:pt idx="3">
                  <c:v>5/2/2026</c:v>
                </c:pt>
                <c:pt idx="4">
                  <c:v>5/3/2026</c:v>
                </c:pt>
                <c:pt idx="5">
                  <c:v>5/4/2026</c:v>
                </c:pt>
                <c:pt idx="6">
                  <c:v>5/5/2026</c:v>
                </c:pt>
                <c:pt idx="7">
                  <c:v>5/6/2026</c:v>
                </c:pt>
                <c:pt idx="8">
                  <c:v>5/7/2026</c:v>
                </c:pt>
                <c:pt idx="9">
                  <c:v>5/8/2026</c:v>
                </c:pt>
                <c:pt idx="10">
                  <c:v>5/9/2026</c:v>
                </c:pt>
                <c:pt idx="11">
                  <c:v>5/10/2026</c:v>
                </c:pt>
                <c:pt idx="12">
                  <c:v>5/11/2026</c:v>
                </c:pt>
                <c:pt idx="13">
                  <c:v>5/12/2026</c:v>
                </c:pt>
                <c:pt idx="14">
                  <c:v>5/13/2026</c:v>
                </c:pt>
                <c:pt idx="15">
                  <c:v>5/14/2026</c:v>
                </c:pt>
                <c:pt idx="16">
                  <c:v>5/15/2026</c:v>
                </c:pt>
                <c:pt idx="17">
                  <c:v>5/16/2026</c:v>
                </c:pt>
                <c:pt idx="18">
                  <c:v>5/17/2026</c:v>
                </c:pt>
                <c:pt idx="19">
                  <c:v>5/18/2026</c:v>
                </c:pt>
                <c:pt idx="20">
                  <c:v>5/19/2026</c:v>
                </c:pt>
                <c:pt idx="21">
                  <c:v>5/20/2026</c:v>
                </c:pt>
                <c:pt idx="22">
                  <c:v>5/21/2026</c:v>
                </c:pt>
                <c:pt idx="23">
                  <c:v>5/22/2026</c:v>
                </c:pt>
                <c:pt idx="24">
                  <c:v>5/23/2026</c:v>
                </c:pt>
                <c:pt idx="25">
                  <c:v>5/24/2026</c:v>
                </c:pt>
                <c:pt idx="26">
                  <c:v>5/25/2026</c:v>
                </c:pt>
                <c:pt idx="27">
                  <c:v>5/26/2026</c:v>
                </c:pt>
                <c:pt idx="28">
                  <c:v>5/27/2026</c:v>
                </c:pt>
                <c:pt idx="29">
                  <c:v>5/28/2026</c:v>
                </c:pt>
                <c:pt idx="30">
                  <c:v>5/29/2026</c:v>
                </c:pt>
                <c:pt idx="31">
                  <c:v>5/30/2026</c:v>
                </c:pt>
                <c:pt idx="32">
                  <c:v>5/31/2026</c:v>
                </c:pt>
                <c:pt idx="33">
                  <c:v>6/1/2026</c:v>
                </c:pt>
                <c:pt idx="34">
                  <c:v>6/2/2026</c:v>
                </c:pt>
                <c:pt idx="35">
                  <c:v>6/3/2026</c:v>
                </c:pt>
                <c:pt idx="36">
                  <c:v>6/4/2026</c:v>
                </c:pt>
                <c:pt idx="37">
                  <c:v>6/5/2026</c:v>
                </c:pt>
                <c:pt idx="38">
                  <c:v>6/6/2026</c:v>
                </c:pt>
                <c:pt idx="39">
                  <c:v>6/7/2026</c:v>
                </c:pt>
                <c:pt idx="40">
                  <c:v>6/8/2026</c:v>
                </c:pt>
                <c:pt idx="41">
                  <c:v>6/9/2026</c:v>
                </c:pt>
                <c:pt idx="42">
                  <c:v>6/10/2026</c:v>
                </c:pt>
                <c:pt idx="43">
                  <c:v>6/11/2026</c:v>
                </c:pt>
                <c:pt idx="44">
                  <c:v>6/12/2026</c:v>
                </c:pt>
                <c:pt idx="45">
                  <c:v>6/13/2026</c:v>
                </c:pt>
                <c:pt idx="46">
                  <c:v>6/14/2026</c:v>
                </c:pt>
                <c:pt idx="47">
                  <c:v>6/15/2026</c:v>
                </c:pt>
                <c:pt idx="48">
                  <c:v>6/16/2026</c:v>
                </c:pt>
                <c:pt idx="49">
                  <c:v>6/17/2026</c:v>
                </c:pt>
                <c:pt idx="50">
                  <c:v>6/18/2026</c:v>
                </c:pt>
                <c:pt idx="51">
                  <c:v>6/19/2026</c:v>
                </c:pt>
                <c:pt idx="52">
                  <c:v>6/20/2026</c:v>
                </c:pt>
                <c:pt idx="53">
                  <c:v>6/21/2026</c:v>
                </c:pt>
                <c:pt idx="54">
                  <c:v>6/22/2026</c:v>
                </c:pt>
                <c:pt idx="55">
                  <c:v>6/23/2026</c:v>
                </c:pt>
                <c:pt idx="56">
                  <c:v>6/24/2026</c:v>
                </c:pt>
                <c:pt idx="57">
                  <c:v>6/25/2026</c:v>
                </c:pt>
                <c:pt idx="58">
                  <c:v>6/26/2026</c:v>
                </c:pt>
                <c:pt idx="59">
                  <c:v>6/27/2026</c:v>
                </c:pt>
                <c:pt idx="60">
                  <c:v>6/28/2026</c:v>
                </c:pt>
                <c:pt idx="61">
                  <c:v>6/29/2026</c:v>
                </c:pt>
                <c:pt idx="62">
                  <c:v>6/30/2026</c:v>
                </c:pt>
                <c:pt idx="63">
                  <c:v>7/1/2026</c:v>
                </c:pt>
                <c:pt idx="64">
                  <c:v>7/2/2026</c:v>
                </c:pt>
                <c:pt idx="65">
                  <c:v>7/3/2026</c:v>
                </c:pt>
                <c:pt idx="66">
                  <c:v>7/4/2026</c:v>
                </c:pt>
                <c:pt idx="67">
                  <c:v>7/5/2026</c:v>
                </c:pt>
                <c:pt idx="68">
                  <c:v>7/6/2026</c:v>
                </c:pt>
                <c:pt idx="69">
                  <c:v>7/7/2026</c:v>
                </c:pt>
                <c:pt idx="70">
                  <c:v>7/8/2026</c:v>
                </c:pt>
                <c:pt idx="71">
                  <c:v>7/9/2026</c:v>
                </c:pt>
                <c:pt idx="72">
                  <c:v>7/10/2026</c:v>
                </c:pt>
                <c:pt idx="73">
                  <c:v>7/11/2026</c:v>
                </c:pt>
                <c:pt idx="74">
                  <c:v>7/12/2026</c:v>
                </c:pt>
                <c:pt idx="75">
                  <c:v>7/13/2026</c:v>
                </c:pt>
                <c:pt idx="76">
                  <c:v>7/14/2026</c:v>
                </c:pt>
                <c:pt idx="77">
                  <c:v>7/15/2026</c:v>
                </c:pt>
                <c:pt idx="78">
                  <c:v>7/16/2026</c:v>
                </c:pt>
                <c:pt idx="79">
                  <c:v>7/17/2026</c:v>
                </c:pt>
                <c:pt idx="80">
                  <c:v>7/18/2026</c:v>
                </c:pt>
                <c:pt idx="81">
                  <c:v>7/19/2026</c:v>
                </c:pt>
                <c:pt idx="82">
                  <c:v>7/20/2026</c:v>
                </c:pt>
                <c:pt idx="83">
                  <c:v>7/21/2026</c:v>
                </c:pt>
                <c:pt idx="84">
                  <c:v>7/22/2026</c:v>
                </c:pt>
                <c:pt idx="85">
                  <c:v>7/23/2026</c:v>
                </c:pt>
                <c:pt idx="86">
                  <c:v>7/24/2026</c:v>
                </c:pt>
                <c:pt idx="87">
                  <c:v>7/25/2026</c:v>
                </c:pt>
                <c:pt idx="88">
                  <c:v>7/26/2026</c:v>
                </c:pt>
                <c:pt idx="89">
                  <c:v>7/27/2026</c:v>
                </c:pt>
                <c:pt idx="90">
                  <c:v>7/28/2026</c:v>
                </c:pt>
                <c:pt idx="91">
                  <c:v>7/29/2026</c:v>
                </c:pt>
                <c:pt idx="92">
                  <c:v>7/30/2026</c:v>
                </c:pt>
                <c:pt idx="93">
                  <c:v>7/31/2026</c:v>
                </c:pt>
                <c:pt idx="94">
                  <c:v>8/1/2026</c:v>
                </c:pt>
                <c:pt idx="95">
                  <c:v>8/2/2026</c:v>
                </c:pt>
                <c:pt idx="96">
                  <c:v>8/3/2026</c:v>
                </c:pt>
                <c:pt idx="97">
                  <c:v>8/4/2026</c:v>
                </c:pt>
                <c:pt idx="98">
                  <c:v>8/5/2026</c:v>
                </c:pt>
                <c:pt idx="99">
                  <c:v>8/6/2026</c:v>
                </c:pt>
                <c:pt idx="100">
                  <c:v>8/7/2026</c:v>
                </c:pt>
                <c:pt idx="101">
                  <c:v>8/8/2026</c:v>
                </c:pt>
                <c:pt idx="102">
                  <c:v>8/9/2026</c:v>
                </c:pt>
                <c:pt idx="103">
                  <c:v>8/10/2026</c:v>
                </c:pt>
              </c:strCache>
            </c:strRef>
          </c:cat>
          <c:val>
            <c:numRef>
              <c:f>pivot!$J$2:$J$106</c:f>
              <c:numCache>
                <c:formatCode>General</c:formatCode>
                <c:ptCount val="104"/>
                <c:pt idx="2">
                  <c:v>119990</c:v>
                </c:pt>
                <c:pt idx="3">
                  <c:v>119970</c:v>
                </c:pt>
                <c:pt idx="4">
                  <c:v>119960</c:v>
                </c:pt>
                <c:pt idx="5">
                  <c:v>119912</c:v>
                </c:pt>
                <c:pt idx="6">
                  <c:v>119722</c:v>
                </c:pt>
                <c:pt idx="7">
                  <c:v>119577</c:v>
                </c:pt>
                <c:pt idx="8">
                  <c:v>119427</c:v>
                </c:pt>
                <c:pt idx="9">
                  <c:v>119372</c:v>
                </c:pt>
                <c:pt idx="10">
                  <c:v>119317</c:v>
                </c:pt>
                <c:pt idx="11">
                  <c:v>119281</c:v>
                </c:pt>
                <c:pt idx="12">
                  <c:v>119251</c:v>
                </c:pt>
                <c:pt idx="13">
                  <c:v>119233</c:v>
                </c:pt>
                <c:pt idx="14">
                  <c:v>119233</c:v>
                </c:pt>
                <c:pt idx="15">
                  <c:v>119197</c:v>
                </c:pt>
                <c:pt idx="16">
                  <c:v>119167</c:v>
                </c:pt>
                <c:pt idx="17">
                  <c:v>119147</c:v>
                </c:pt>
                <c:pt idx="18">
                  <c:v>119087</c:v>
                </c:pt>
                <c:pt idx="19">
                  <c:v>118979</c:v>
                </c:pt>
                <c:pt idx="20">
                  <c:v>118901</c:v>
                </c:pt>
                <c:pt idx="21">
                  <c:v>118823</c:v>
                </c:pt>
                <c:pt idx="22">
                  <c:v>118715</c:v>
                </c:pt>
                <c:pt idx="23">
                  <c:v>118673</c:v>
                </c:pt>
                <c:pt idx="24">
                  <c:v>118625</c:v>
                </c:pt>
                <c:pt idx="25">
                  <c:v>118611</c:v>
                </c:pt>
                <c:pt idx="26">
                  <c:v>118601</c:v>
                </c:pt>
                <c:pt idx="27">
                  <c:v>118587</c:v>
                </c:pt>
                <c:pt idx="28">
                  <c:v>118555</c:v>
                </c:pt>
                <c:pt idx="29">
                  <c:v>118527</c:v>
                </c:pt>
                <c:pt idx="30">
                  <c:v>118499</c:v>
                </c:pt>
                <c:pt idx="31">
                  <c:v>118471</c:v>
                </c:pt>
                <c:pt idx="32">
                  <c:v>118443</c:v>
                </c:pt>
                <c:pt idx="33">
                  <c:v>118415</c:v>
                </c:pt>
                <c:pt idx="34">
                  <c:v>118357</c:v>
                </c:pt>
                <c:pt idx="35">
                  <c:v>118321</c:v>
                </c:pt>
                <c:pt idx="36">
                  <c:v>118283</c:v>
                </c:pt>
                <c:pt idx="37">
                  <c:v>118199</c:v>
                </c:pt>
                <c:pt idx="38">
                  <c:v>118189</c:v>
                </c:pt>
                <c:pt idx="39">
                  <c:v>118131</c:v>
                </c:pt>
                <c:pt idx="40">
                  <c:v>118061</c:v>
                </c:pt>
                <c:pt idx="41">
                  <c:v>117924</c:v>
                </c:pt>
                <c:pt idx="42">
                  <c:v>117850</c:v>
                </c:pt>
                <c:pt idx="43">
                  <c:v>117727</c:v>
                </c:pt>
                <c:pt idx="44">
                  <c:v>117631</c:v>
                </c:pt>
                <c:pt idx="45">
                  <c:v>117436</c:v>
                </c:pt>
                <c:pt idx="46">
                  <c:v>117409</c:v>
                </c:pt>
                <c:pt idx="47">
                  <c:v>117374</c:v>
                </c:pt>
                <c:pt idx="48">
                  <c:v>117302</c:v>
                </c:pt>
                <c:pt idx="49">
                  <c:v>117233</c:v>
                </c:pt>
                <c:pt idx="50">
                  <c:v>117160</c:v>
                </c:pt>
                <c:pt idx="51">
                  <c:v>117122</c:v>
                </c:pt>
                <c:pt idx="52">
                  <c:v>117018</c:v>
                </c:pt>
                <c:pt idx="53">
                  <c:v>116908</c:v>
                </c:pt>
                <c:pt idx="54">
                  <c:v>116772</c:v>
                </c:pt>
                <c:pt idx="55">
                  <c:v>116664</c:v>
                </c:pt>
                <c:pt idx="56">
                  <c:v>116585</c:v>
                </c:pt>
                <c:pt idx="57">
                  <c:v>116518</c:v>
                </c:pt>
                <c:pt idx="58">
                  <c:v>116433</c:v>
                </c:pt>
                <c:pt idx="59">
                  <c:v>116391</c:v>
                </c:pt>
                <c:pt idx="60">
                  <c:v>116252</c:v>
                </c:pt>
                <c:pt idx="61">
                  <c:v>116030</c:v>
                </c:pt>
                <c:pt idx="62">
                  <c:v>115944</c:v>
                </c:pt>
                <c:pt idx="63">
                  <c:v>115843</c:v>
                </c:pt>
                <c:pt idx="64">
                  <c:v>115632</c:v>
                </c:pt>
                <c:pt idx="65">
                  <c:v>115304</c:v>
                </c:pt>
                <c:pt idx="66">
                  <c:v>115106</c:v>
                </c:pt>
                <c:pt idx="67">
                  <c:v>114966</c:v>
                </c:pt>
                <c:pt idx="68">
                  <c:v>114945</c:v>
                </c:pt>
                <c:pt idx="69">
                  <c:v>114839</c:v>
                </c:pt>
                <c:pt idx="70">
                  <c:v>114687</c:v>
                </c:pt>
                <c:pt idx="71">
                  <c:v>114566</c:v>
                </c:pt>
                <c:pt idx="72">
                  <c:v>114475</c:v>
                </c:pt>
                <c:pt idx="73">
                  <c:v>114384</c:v>
                </c:pt>
                <c:pt idx="74">
                  <c:v>114306</c:v>
                </c:pt>
                <c:pt idx="75">
                  <c:v>114229</c:v>
                </c:pt>
                <c:pt idx="76">
                  <c:v>114131</c:v>
                </c:pt>
                <c:pt idx="77">
                  <c:v>114087</c:v>
                </c:pt>
                <c:pt idx="78">
                  <c:v>114035</c:v>
                </c:pt>
                <c:pt idx="79">
                  <c:v>114012</c:v>
                </c:pt>
                <c:pt idx="80">
                  <c:v>113997</c:v>
                </c:pt>
                <c:pt idx="81">
                  <c:v>113994</c:v>
                </c:pt>
                <c:pt idx="82">
                  <c:v>113980</c:v>
                </c:pt>
                <c:pt idx="83">
                  <c:v>113963</c:v>
                </c:pt>
                <c:pt idx="84">
                  <c:v>113927</c:v>
                </c:pt>
                <c:pt idx="85">
                  <c:v>113869</c:v>
                </c:pt>
                <c:pt idx="86">
                  <c:v>113838</c:v>
                </c:pt>
                <c:pt idx="87">
                  <c:v>113814</c:v>
                </c:pt>
                <c:pt idx="88">
                  <c:v>113769</c:v>
                </c:pt>
                <c:pt idx="89">
                  <c:v>113738</c:v>
                </c:pt>
                <c:pt idx="90">
                  <c:v>113723</c:v>
                </c:pt>
                <c:pt idx="91">
                  <c:v>113680</c:v>
                </c:pt>
                <c:pt idx="92">
                  <c:v>113629</c:v>
                </c:pt>
                <c:pt idx="93">
                  <c:v>113593</c:v>
                </c:pt>
                <c:pt idx="94">
                  <c:v>113538</c:v>
                </c:pt>
                <c:pt idx="95">
                  <c:v>113519</c:v>
                </c:pt>
                <c:pt idx="96">
                  <c:v>113473</c:v>
                </c:pt>
                <c:pt idx="97">
                  <c:v>113443</c:v>
                </c:pt>
                <c:pt idx="98">
                  <c:v>113411</c:v>
                </c:pt>
                <c:pt idx="99">
                  <c:v>113371</c:v>
                </c:pt>
                <c:pt idx="100">
                  <c:v>113341</c:v>
                </c:pt>
                <c:pt idx="101">
                  <c:v>113285</c:v>
                </c:pt>
                <c:pt idx="102">
                  <c:v>113259</c:v>
                </c:pt>
                <c:pt idx="103">
                  <c:v>113244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C-4188-869A-AB1B2DE11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15631"/>
        <c:axId val="217462479"/>
      </c:barChart>
      <c:lineChart>
        <c:grouping val="standard"/>
        <c:varyColors val="0"/>
        <c:ser>
          <c:idx val="1"/>
          <c:order val="1"/>
          <c:tx>
            <c:strRef>
              <c:f>pivot!$K$1</c:f>
              <c:strCache>
                <c:ptCount val="1"/>
                <c:pt idx="0">
                  <c:v>Sum of actual SR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pivot!$I$2:$I$106</c:f>
              <c:strCache>
                <c:ptCount val="104"/>
                <c:pt idx="0">
                  <c:v>4/29/2026</c:v>
                </c:pt>
                <c:pt idx="1">
                  <c:v>4/30/2026</c:v>
                </c:pt>
                <c:pt idx="2">
                  <c:v>5/1/2026</c:v>
                </c:pt>
                <c:pt idx="3">
                  <c:v>5/2/2026</c:v>
                </c:pt>
                <c:pt idx="4">
                  <c:v>5/3/2026</c:v>
                </c:pt>
                <c:pt idx="5">
                  <c:v>5/4/2026</c:v>
                </c:pt>
                <c:pt idx="6">
                  <c:v>5/5/2026</c:v>
                </c:pt>
                <c:pt idx="7">
                  <c:v>5/6/2026</c:v>
                </c:pt>
                <c:pt idx="8">
                  <c:v>5/7/2026</c:v>
                </c:pt>
                <c:pt idx="9">
                  <c:v>5/8/2026</c:v>
                </c:pt>
                <c:pt idx="10">
                  <c:v>5/9/2026</c:v>
                </c:pt>
                <c:pt idx="11">
                  <c:v>5/10/2026</c:v>
                </c:pt>
                <c:pt idx="12">
                  <c:v>5/11/2026</c:v>
                </c:pt>
                <c:pt idx="13">
                  <c:v>5/12/2026</c:v>
                </c:pt>
                <c:pt idx="14">
                  <c:v>5/13/2026</c:v>
                </c:pt>
                <c:pt idx="15">
                  <c:v>5/14/2026</c:v>
                </c:pt>
                <c:pt idx="16">
                  <c:v>5/15/2026</c:v>
                </c:pt>
                <c:pt idx="17">
                  <c:v>5/16/2026</c:v>
                </c:pt>
                <c:pt idx="18">
                  <c:v>5/17/2026</c:v>
                </c:pt>
                <c:pt idx="19">
                  <c:v>5/18/2026</c:v>
                </c:pt>
                <c:pt idx="20">
                  <c:v>5/19/2026</c:v>
                </c:pt>
                <c:pt idx="21">
                  <c:v>5/20/2026</c:v>
                </c:pt>
                <c:pt idx="22">
                  <c:v>5/21/2026</c:v>
                </c:pt>
                <c:pt idx="23">
                  <c:v>5/22/2026</c:v>
                </c:pt>
                <c:pt idx="24">
                  <c:v>5/23/2026</c:v>
                </c:pt>
                <c:pt idx="25">
                  <c:v>5/24/2026</c:v>
                </c:pt>
                <c:pt idx="26">
                  <c:v>5/25/2026</c:v>
                </c:pt>
                <c:pt idx="27">
                  <c:v>5/26/2026</c:v>
                </c:pt>
                <c:pt idx="28">
                  <c:v>5/27/2026</c:v>
                </c:pt>
                <c:pt idx="29">
                  <c:v>5/28/2026</c:v>
                </c:pt>
                <c:pt idx="30">
                  <c:v>5/29/2026</c:v>
                </c:pt>
                <c:pt idx="31">
                  <c:v>5/30/2026</c:v>
                </c:pt>
                <c:pt idx="32">
                  <c:v>5/31/2026</c:v>
                </c:pt>
                <c:pt idx="33">
                  <c:v>6/1/2026</c:v>
                </c:pt>
                <c:pt idx="34">
                  <c:v>6/2/2026</c:v>
                </c:pt>
                <c:pt idx="35">
                  <c:v>6/3/2026</c:v>
                </c:pt>
                <c:pt idx="36">
                  <c:v>6/4/2026</c:v>
                </c:pt>
                <c:pt idx="37">
                  <c:v>6/5/2026</c:v>
                </c:pt>
                <c:pt idx="38">
                  <c:v>6/6/2026</c:v>
                </c:pt>
                <c:pt idx="39">
                  <c:v>6/7/2026</c:v>
                </c:pt>
                <c:pt idx="40">
                  <c:v>6/8/2026</c:v>
                </c:pt>
                <c:pt idx="41">
                  <c:v>6/9/2026</c:v>
                </c:pt>
                <c:pt idx="42">
                  <c:v>6/10/2026</c:v>
                </c:pt>
                <c:pt idx="43">
                  <c:v>6/11/2026</c:v>
                </c:pt>
                <c:pt idx="44">
                  <c:v>6/12/2026</c:v>
                </c:pt>
                <c:pt idx="45">
                  <c:v>6/13/2026</c:v>
                </c:pt>
                <c:pt idx="46">
                  <c:v>6/14/2026</c:v>
                </c:pt>
                <c:pt idx="47">
                  <c:v>6/15/2026</c:v>
                </c:pt>
                <c:pt idx="48">
                  <c:v>6/16/2026</c:v>
                </c:pt>
                <c:pt idx="49">
                  <c:v>6/17/2026</c:v>
                </c:pt>
                <c:pt idx="50">
                  <c:v>6/18/2026</c:v>
                </c:pt>
                <c:pt idx="51">
                  <c:v>6/19/2026</c:v>
                </c:pt>
                <c:pt idx="52">
                  <c:v>6/20/2026</c:v>
                </c:pt>
                <c:pt idx="53">
                  <c:v>6/21/2026</c:v>
                </c:pt>
                <c:pt idx="54">
                  <c:v>6/22/2026</c:v>
                </c:pt>
                <c:pt idx="55">
                  <c:v>6/23/2026</c:v>
                </c:pt>
                <c:pt idx="56">
                  <c:v>6/24/2026</c:v>
                </c:pt>
                <c:pt idx="57">
                  <c:v>6/25/2026</c:v>
                </c:pt>
                <c:pt idx="58">
                  <c:v>6/26/2026</c:v>
                </c:pt>
                <c:pt idx="59">
                  <c:v>6/27/2026</c:v>
                </c:pt>
                <c:pt idx="60">
                  <c:v>6/28/2026</c:v>
                </c:pt>
                <c:pt idx="61">
                  <c:v>6/29/2026</c:v>
                </c:pt>
                <c:pt idx="62">
                  <c:v>6/30/2026</c:v>
                </c:pt>
                <c:pt idx="63">
                  <c:v>7/1/2026</c:v>
                </c:pt>
                <c:pt idx="64">
                  <c:v>7/2/2026</c:v>
                </c:pt>
                <c:pt idx="65">
                  <c:v>7/3/2026</c:v>
                </c:pt>
                <c:pt idx="66">
                  <c:v>7/4/2026</c:v>
                </c:pt>
                <c:pt idx="67">
                  <c:v>7/5/2026</c:v>
                </c:pt>
                <c:pt idx="68">
                  <c:v>7/6/2026</c:v>
                </c:pt>
                <c:pt idx="69">
                  <c:v>7/7/2026</c:v>
                </c:pt>
                <c:pt idx="70">
                  <c:v>7/8/2026</c:v>
                </c:pt>
                <c:pt idx="71">
                  <c:v>7/9/2026</c:v>
                </c:pt>
                <c:pt idx="72">
                  <c:v>7/10/2026</c:v>
                </c:pt>
                <c:pt idx="73">
                  <c:v>7/11/2026</c:v>
                </c:pt>
                <c:pt idx="74">
                  <c:v>7/12/2026</c:v>
                </c:pt>
                <c:pt idx="75">
                  <c:v>7/13/2026</c:v>
                </c:pt>
                <c:pt idx="76">
                  <c:v>7/14/2026</c:v>
                </c:pt>
                <c:pt idx="77">
                  <c:v>7/15/2026</c:v>
                </c:pt>
                <c:pt idx="78">
                  <c:v>7/16/2026</c:v>
                </c:pt>
                <c:pt idx="79">
                  <c:v>7/17/2026</c:v>
                </c:pt>
                <c:pt idx="80">
                  <c:v>7/18/2026</c:v>
                </c:pt>
                <c:pt idx="81">
                  <c:v>7/19/2026</c:v>
                </c:pt>
                <c:pt idx="82">
                  <c:v>7/20/2026</c:v>
                </c:pt>
                <c:pt idx="83">
                  <c:v>7/21/2026</c:v>
                </c:pt>
                <c:pt idx="84">
                  <c:v>7/22/2026</c:v>
                </c:pt>
                <c:pt idx="85">
                  <c:v>7/23/2026</c:v>
                </c:pt>
                <c:pt idx="86">
                  <c:v>7/24/2026</c:v>
                </c:pt>
                <c:pt idx="87">
                  <c:v>7/25/2026</c:v>
                </c:pt>
                <c:pt idx="88">
                  <c:v>7/26/2026</c:v>
                </c:pt>
                <c:pt idx="89">
                  <c:v>7/27/2026</c:v>
                </c:pt>
                <c:pt idx="90">
                  <c:v>7/28/2026</c:v>
                </c:pt>
                <c:pt idx="91">
                  <c:v>7/29/2026</c:v>
                </c:pt>
                <c:pt idx="92">
                  <c:v>7/30/2026</c:v>
                </c:pt>
                <c:pt idx="93">
                  <c:v>7/31/2026</c:v>
                </c:pt>
                <c:pt idx="94">
                  <c:v>8/1/2026</c:v>
                </c:pt>
                <c:pt idx="95">
                  <c:v>8/2/2026</c:v>
                </c:pt>
                <c:pt idx="96">
                  <c:v>8/3/2026</c:v>
                </c:pt>
                <c:pt idx="97">
                  <c:v>8/4/2026</c:v>
                </c:pt>
                <c:pt idx="98">
                  <c:v>8/5/2026</c:v>
                </c:pt>
                <c:pt idx="99">
                  <c:v>8/6/2026</c:v>
                </c:pt>
                <c:pt idx="100">
                  <c:v>8/7/2026</c:v>
                </c:pt>
                <c:pt idx="101">
                  <c:v>8/8/2026</c:v>
                </c:pt>
                <c:pt idx="102">
                  <c:v>8/9/2026</c:v>
                </c:pt>
                <c:pt idx="103">
                  <c:v>8/10/2026</c:v>
                </c:pt>
              </c:strCache>
            </c:strRef>
          </c:cat>
          <c:val>
            <c:numRef>
              <c:f>pivot!$K$2:$K$106</c:f>
              <c:numCache>
                <c:formatCode>0.00%</c:formatCode>
                <c:ptCount val="104"/>
                <c:pt idx="2">
                  <c:v>0.99991666666666668</c:v>
                </c:pt>
                <c:pt idx="3">
                  <c:v>0.99975000000000003</c:v>
                </c:pt>
                <c:pt idx="4">
                  <c:v>0.9996666666666667</c:v>
                </c:pt>
                <c:pt idx="5">
                  <c:v>0.99926666666666664</c:v>
                </c:pt>
                <c:pt idx="6">
                  <c:v>0.99768333333333337</c:v>
                </c:pt>
                <c:pt idx="7">
                  <c:v>0.996475</c:v>
                </c:pt>
                <c:pt idx="8">
                  <c:v>0.99522500000000003</c:v>
                </c:pt>
                <c:pt idx="9">
                  <c:v>0.99476666666666669</c:v>
                </c:pt>
                <c:pt idx="10">
                  <c:v>0.99430833333333335</c:v>
                </c:pt>
                <c:pt idx="11">
                  <c:v>0.99400833333333338</c:v>
                </c:pt>
                <c:pt idx="12">
                  <c:v>0.9937583333333333</c:v>
                </c:pt>
                <c:pt idx="13">
                  <c:v>0.99360833333333332</c:v>
                </c:pt>
                <c:pt idx="14">
                  <c:v>0.99360833333333332</c:v>
                </c:pt>
                <c:pt idx="15">
                  <c:v>0.99330833333333335</c:v>
                </c:pt>
                <c:pt idx="16">
                  <c:v>0.99305833333333338</c:v>
                </c:pt>
                <c:pt idx="17">
                  <c:v>0.99289166666666662</c:v>
                </c:pt>
                <c:pt idx="18">
                  <c:v>0.99239166666666667</c:v>
                </c:pt>
                <c:pt idx="19">
                  <c:v>0.99149166666666666</c:v>
                </c:pt>
                <c:pt idx="20">
                  <c:v>0.99084166666666662</c:v>
                </c:pt>
                <c:pt idx="21">
                  <c:v>0.99019166666666669</c:v>
                </c:pt>
                <c:pt idx="22">
                  <c:v>0.98929166666666668</c:v>
                </c:pt>
                <c:pt idx="23">
                  <c:v>0.98894166666666672</c:v>
                </c:pt>
                <c:pt idx="24">
                  <c:v>0.98854166666666665</c:v>
                </c:pt>
                <c:pt idx="25">
                  <c:v>0.988425</c:v>
                </c:pt>
                <c:pt idx="26">
                  <c:v>0.98834166666666667</c:v>
                </c:pt>
                <c:pt idx="27">
                  <c:v>0.98822500000000002</c:v>
                </c:pt>
                <c:pt idx="28">
                  <c:v>0.98795833333333338</c:v>
                </c:pt>
                <c:pt idx="29">
                  <c:v>0.98772499999999996</c:v>
                </c:pt>
                <c:pt idx="30">
                  <c:v>0.98749166666666666</c:v>
                </c:pt>
                <c:pt idx="31">
                  <c:v>0.98725833333333335</c:v>
                </c:pt>
                <c:pt idx="32">
                  <c:v>0.98702500000000004</c:v>
                </c:pt>
                <c:pt idx="33">
                  <c:v>0.98679166666666662</c:v>
                </c:pt>
                <c:pt idx="34">
                  <c:v>0.98630833333333334</c:v>
                </c:pt>
                <c:pt idx="35">
                  <c:v>0.98600833333333338</c:v>
                </c:pt>
                <c:pt idx="36">
                  <c:v>0.98569166666666663</c:v>
                </c:pt>
                <c:pt idx="37">
                  <c:v>0.98499166666666671</c:v>
                </c:pt>
                <c:pt idx="38">
                  <c:v>0.98490833333333339</c:v>
                </c:pt>
                <c:pt idx="39">
                  <c:v>0.98442499999999999</c:v>
                </c:pt>
                <c:pt idx="40">
                  <c:v>0.98384166666666661</c:v>
                </c:pt>
                <c:pt idx="41">
                  <c:v>0.98270000000000002</c:v>
                </c:pt>
                <c:pt idx="42">
                  <c:v>0.98208333333333331</c:v>
                </c:pt>
                <c:pt idx="43">
                  <c:v>0.98105833333333337</c:v>
                </c:pt>
                <c:pt idx="44">
                  <c:v>0.98025833333333334</c:v>
                </c:pt>
                <c:pt idx="45">
                  <c:v>0.97863333333333336</c:v>
                </c:pt>
                <c:pt idx="46">
                  <c:v>0.97840833333333332</c:v>
                </c:pt>
                <c:pt idx="47">
                  <c:v>0.97811666666666663</c:v>
                </c:pt>
                <c:pt idx="48">
                  <c:v>0.9775166666666667</c:v>
                </c:pt>
                <c:pt idx="49">
                  <c:v>0.97694166666666671</c:v>
                </c:pt>
                <c:pt idx="50">
                  <c:v>0.97633333333333339</c:v>
                </c:pt>
                <c:pt idx="51">
                  <c:v>0.97601666666666664</c:v>
                </c:pt>
                <c:pt idx="52">
                  <c:v>0.97514999999999996</c:v>
                </c:pt>
                <c:pt idx="53">
                  <c:v>0.97423333333333328</c:v>
                </c:pt>
                <c:pt idx="54">
                  <c:v>0.97309999999999997</c:v>
                </c:pt>
                <c:pt idx="55">
                  <c:v>0.97219999999999995</c:v>
                </c:pt>
                <c:pt idx="56">
                  <c:v>0.97154166666666664</c:v>
                </c:pt>
                <c:pt idx="57">
                  <c:v>0.97098333333333331</c:v>
                </c:pt>
                <c:pt idx="58">
                  <c:v>0.970275</c:v>
                </c:pt>
                <c:pt idx="59">
                  <c:v>0.96992500000000004</c:v>
                </c:pt>
                <c:pt idx="60">
                  <c:v>0.96876666666666666</c:v>
                </c:pt>
                <c:pt idx="61">
                  <c:v>0.96691666666666665</c:v>
                </c:pt>
                <c:pt idx="62">
                  <c:v>0.96619999999999995</c:v>
                </c:pt>
                <c:pt idx="63">
                  <c:v>0.96535833333333332</c:v>
                </c:pt>
                <c:pt idx="64">
                  <c:v>0.96360000000000001</c:v>
                </c:pt>
                <c:pt idx="65">
                  <c:v>0.96086666666666665</c:v>
                </c:pt>
                <c:pt idx="66">
                  <c:v>0.95921666666666672</c:v>
                </c:pt>
                <c:pt idx="67">
                  <c:v>0.95804999999999996</c:v>
                </c:pt>
                <c:pt idx="68">
                  <c:v>0.95787500000000003</c:v>
                </c:pt>
                <c:pt idx="69">
                  <c:v>0.95699166666666668</c:v>
                </c:pt>
                <c:pt idx="70">
                  <c:v>0.95572500000000005</c:v>
                </c:pt>
                <c:pt idx="71">
                  <c:v>0.95471666666666666</c:v>
                </c:pt>
                <c:pt idx="72">
                  <c:v>0.95395833333333335</c:v>
                </c:pt>
                <c:pt idx="73">
                  <c:v>0.95320000000000005</c:v>
                </c:pt>
                <c:pt idx="74">
                  <c:v>0.95255000000000001</c:v>
                </c:pt>
                <c:pt idx="75">
                  <c:v>0.95190833333333336</c:v>
                </c:pt>
                <c:pt idx="76">
                  <c:v>0.95109166666666667</c:v>
                </c:pt>
                <c:pt idx="77">
                  <c:v>0.95072500000000004</c:v>
                </c:pt>
                <c:pt idx="78">
                  <c:v>0.95029166666666665</c:v>
                </c:pt>
                <c:pt idx="79">
                  <c:v>0.95009999999999994</c:v>
                </c:pt>
                <c:pt idx="80">
                  <c:v>0.94997500000000001</c:v>
                </c:pt>
                <c:pt idx="81">
                  <c:v>0.94994999999999996</c:v>
                </c:pt>
                <c:pt idx="82">
                  <c:v>0.94983333333333331</c:v>
                </c:pt>
                <c:pt idx="83">
                  <c:v>0.94969166666666671</c:v>
                </c:pt>
                <c:pt idx="84">
                  <c:v>0.94939166666666663</c:v>
                </c:pt>
                <c:pt idx="85">
                  <c:v>0.94890833333333335</c:v>
                </c:pt>
                <c:pt idx="86">
                  <c:v>0.94864999999999999</c:v>
                </c:pt>
                <c:pt idx="87">
                  <c:v>0.94845000000000002</c:v>
                </c:pt>
                <c:pt idx="88">
                  <c:v>0.948075</c:v>
                </c:pt>
                <c:pt idx="89">
                  <c:v>0.94781666666666664</c:v>
                </c:pt>
                <c:pt idx="90">
                  <c:v>0.94769166666666671</c:v>
                </c:pt>
                <c:pt idx="91">
                  <c:v>0.94733333333333336</c:v>
                </c:pt>
                <c:pt idx="92">
                  <c:v>0.94690833333333335</c:v>
                </c:pt>
                <c:pt idx="93">
                  <c:v>0.94660833333333338</c:v>
                </c:pt>
                <c:pt idx="94">
                  <c:v>0.94615000000000005</c:v>
                </c:pt>
                <c:pt idx="95">
                  <c:v>0.94599166666666668</c:v>
                </c:pt>
                <c:pt idx="96">
                  <c:v>0.94560833333333338</c:v>
                </c:pt>
                <c:pt idx="97">
                  <c:v>0.9453583333333333</c:v>
                </c:pt>
                <c:pt idx="98">
                  <c:v>0.94509166666666666</c:v>
                </c:pt>
                <c:pt idx="99">
                  <c:v>0.94475833333333337</c:v>
                </c:pt>
                <c:pt idx="100">
                  <c:v>0.94450833333333328</c:v>
                </c:pt>
                <c:pt idx="101">
                  <c:v>0.94404166666666667</c:v>
                </c:pt>
                <c:pt idx="102">
                  <c:v>0.94382500000000003</c:v>
                </c:pt>
                <c:pt idx="103">
                  <c:v>0.94369999999999998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C-4188-869A-AB1B2DE11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55071"/>
        <c:axId val="217465839"/>
      </c:lineChart>
      <c:catAx>
        <c:axId val="132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62479"/>
        <c:crosses val="autoZero"/>
        <c:auto val="1"/>
        <c:lblAlgn val="ctr"/>
        <c:lblOffset val="100"/>
        <c:noMultiLvlLbl val="0"/>
      </c:catAx>
      <c:valAx>
        <c:axId val="2174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5631"/>
        <c:crosses val="autoZero"/>
        <c:crossBetween val="between"/>
      </c:valAx>
      <c:valAx>
        <c:axId val="217465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55071"/>
        <c:crosses val="max"/>
        <c:crossBetween val="between"/>
      </c:valAx>
      <c:catAx>
        <c:axId val="132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7465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335850196315308"/>
          <c:y val="5.1712233887430709E-2"/>
          <c:w val="0.63856419831049849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[Operations_KPI_Dashboard_Portfolio.xlsx]pivot!PivotTable34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pivot!$L$2:$L$106</c:f>
              <c:strCache>
                <c:ptCount val="104"/>
                <c:pt idx="0">
                  <c:v>4/29/2026</c:v>
                </c:pt>
                <c:pt idx="1">
                  <c:v>4/30/2026</c:v>
                </c:pt>
                <c:pt idx="2">
                  <c:v>5/1/2026</c:v>
                </c:pt>
                <c:pt idx="3">
                  <c:v>5/2/2026</c:v>
                </c:pt>
                <c:pt idx="4">
                  <c:v>5/3/2026</c:v>
                </c:pt>
                <c:pt idx="5">
                  <c:v>5/4/2026</c:v>
                </c:pt>
                <c:pt idx="6">
                  <c:v>5/5/2026</c:v>
                </c:pt>
                <c:pt idx="7">
                  <c:v>5/6/2026</c:v>
                </c:pt>
                <c:pt idx="8">
                  <c:v>5/7/2026</c:v>
                </c:pt>
                <c:pt idx="9">
                  <c:v>5/8/2026</c:v>
                </c:pt>
                <c:pt idx="10">
                  <c:v>5/9/2026</c:v>
                </c:pt>
                <c:pt idx="11">
                  <c:v>5/10/2026</c:v>
                </c:pt>
                <c:pt idx="12">
                  <c:v>5/11/2026</c:v>
                </c:pt>
                <c:pt idx="13">
                  <c:v>5/12/2026</c:v>
                </c:pt>
                <c:pt idx="14">
                  <c:v>5/13/2026</c:v>
                </c:pt>
                <c:pt idx="15">
                  <c:v>5/14/2026</c:v>
                </c:pt>
                <c:pt idx="16">
                  <c:v>5/15/2026</c:v>
                </c:pt>
                <c:pt idx="17">
                  <c:v>5/16/2026</c:v>
                </c:pt>
                <c:pt idx="18">
                  <c:v>5/17/2026</c:v>
                </c:pt>
                <c:pt idx="19">
                  <c:v>5/18/2026</c:v>
                </c:pt>
                <c:pt idx="20">
                  <c:v>5/19/2026</c:v>
                </c:pt>
                <c:pt idx="21">
                  <c:v>5/20/2026</c:v>
                </c:pt>
                <c:pt idx="22">
                  <c:v>5/21/2026</c:v>
                </c:pt>
                <c:pt idx="23">
                  <c:v>5/22/2026</c:v>
                </c:pt>
                <c:pt idx="24">
                  <c:v>5/23/2026</c:v>
                </c:pt>
                <c:pt idx="25">
                  <c:v>5/24/2026</c:v>
                </c:pt>
                <c:pt idx="26">
                  <c:v>5/25/2026</c:v>
                </c:pt>
                <c:pt idx="27">
                  <c:v>5/26/2026</c:v>
                </c:pt>
                <c:pt idx="28">
                  <c:v>5/27/2026</c:v>
                </c:pt>
                <c:pt idx="29">
                  <c:v>5/28/2026</c:v>
                </c:pt>
                <c:pt idx="30">
                  <c:v>5/29/2026</c:v>
                </c:pt>
                <c:pt idx="31">
                  <c:v>5/30/2026</c:v>
                </c:pt>
                <c:pt idx="32">
                  <c:v>5/31/2026</c:v>
                </c:pt>
                <c:pt idx="33">
                  <c:v>6/1/2026</c:v>
                </c:pt>
                <c:pt idx="34">
                  <c:v>6/2/2026</c:v>
                </c:pt>
                <c:pt idx="35">
                  <c:v>6/3/2026</c:v>
                </c:pt>
                <c:pt idx="36">
                  <c:v>6/4/2026</c:v>
                </c:pt>
                <c:pt idx="37">
                  <c:v>6/5/2026</c:v>
                </c:pt>
                <c:pt idx="38">
                  <c:v>6/6/2026</c:v>
                </c:pt>
                <c:pt idx="39">
                  <c:v>6/7/2026</c:v>
                </c:pt>
                <c:pt idx="40">
                  <c:v>6/8/2026</c:v>
                </c:pt>
                <c:pt idx="41">
                  <c:v>6/9/2026</c:v>
                </c:pt>
                <c:pt idx="42">
                  <c:v>6/10/2026</c:v>
                </c:pt>
                <c:pt idx="43">
                  <c:v>6/11/2026</c:v>
                </c:pt>
                <c:pt idx="44">
                  <c:v>6/12/2026</c:v>
                </c:pt>
                <c:pt idx="45">
                  <c:v>6/13/2026</c:v>
                </c:pt>
                <c:pt idx="46">
                  <c:v>6/14/2026</c:v>
                </c:pt>
                <c:pt idx="47">
                  <c:v>6/15/2026</c:v>
                </c:pt>
                <c:pt idx="48">
                  <c:v>6/16/2026</c:v>
                </c:pt>
                <c:pt idx="49">
                  <c:v>6/17/2026</c:v>
                </c:pt>
                <c:pt idx="50">
                  <c:v>6/18/2026</c:v>
                </c:pt>
                <c:pt idx="51">
                  <c:v>6/19/2026</c:v>
                </c:pt>
                <c:pt idx="52">
                  <c:v>6/20/2026</c:v>
                </c:pt>
                <c:pt idx="53">
                  <c:v>6/21/2026</c:v>
                </c:pt>
                <c:pt idx="54">
                  <c:v>6/22/2026</c:v>
                </c:pt>
                <c:pt idx="55">
                  <c:v>6/23/2026</c:v>
                </c:pt>
                <c:pt idx="56">
                  <c:v>6/24/2026</c:v>
                </c:pt>
                <c:pt idx="57">
                  <c:v>6/25/2026</c:v>
                </c:pt>
                <c:pt idx="58">
                  <c:v>6/26/2026</c:v>
                </c:pt>
                <c:pt idx="59">
                  <c:v>6/27/2026</c:v>
                </c:pt>
                <c:pt idx="60">
                  <c:v>6/28/2026</c:v>
                </c:pt>
                <c:pt idx="61">
                  <c:v>6/29/2026</c:v>
                </c:pt>
                <c:pt idx="62">
                  <c:v>6/30/2026</c:v>
                </c:pt>
                <c:pt idx="63">
                  <c:v>7/1/2026</c:v>
                </c:pt>
                <c:pt idx="64">
                  <c:v>7/2/2026</c:v>
                </c:pt>
                <c:pt idx="65">
                  <c:v>7/3/2026</c:v>
                </c:pt>
                <c:pt idx="66">
                  <c:v>7/4/2026</c:v>
                </c:pt>
                <c:pt idx="67">
                  <c:v>7/5/2026</c:v>
                </c:pt>
                <c:pt idx="68">
                  <c:v>7/6/2026</c:v>
                </c:pt>
                <c:pt idx="69">
                  <c:v>7/7/2026</c:v>
                </c:pt>
                <c:pt idx="70">
                  <c:v>7/8/2026</c:v>
                </c:pt>
                <c:pt idx="71">
                  <c:v>7/9/2026</c:v>
                </c:pt>
                <c:pt idx="72">
                  <c:v>7/10/2026</c:v>
                </c:pt>
                <c:pt idx="73">
                  <c:v>7/11/2026</c:v>
                </c:pt>
                <c:pt idx="74">
                  <c:v>7/12/2026</c:v>
                </c:pt>
                <c:pt idx="75">
                  <c:v>7/13/2026</c:v>
                </c:pt>
                <c:pt idx="76">
                  <c:v>7/14/2026</c:v>
                </c:pt>
                <c:pt idx="77">
                  <c:v>7/15/2026</c:v>
                </c:pt>
                <c:pt idx="78">
                  <c:v>7/16/2026</c:v>
                </c:pt>
                <c:pt idx="79">
                  <c:v>7/17/2026</c:v>
                </c:pt>
                <c:pt idx="80">
                  <c:v>7/18/2026</c:v>
                </c:pt>
                <c:pt idx="81">
                  <c:v>7/19/2026</c:v>
                </c:pt>
                <c:pt idx="82">
                  <c:v>7/20/2026</c:v>
                </c:pt>
                <c:pt idx="83">
                  <c:v>7/21/2026</c:v>
                </c:pt>
                <c:pt idx="84">
                  <c:v>7/22/2026</c:v>
                </c:pt>
                <c:pt idx="85">
                  <c:v>7/23/2026</c:v>
                </c:pt>
                <c:pt idx="86">
                  <c:v>7/24/2026</c:v>
                </c:pt>
                <c:pt idx="87">
                  <c:v>7/25/2026</c:v>
                </c:pt>
                <c:pt idx="88">
                  <c:v>7/26/2026</c:v>
                </c:pt>
                <c:pt idx="89">
                  <c:v>7/27/2026</c:v>
                </c:pt>
                <c:pt idx="90">
                  <c:v>7/28/2026</c:v>
                </c:pt>
                <c:pt idx="91">
                  <c:v>7/29/2026</c:v>
                </c:pt>
                <c:pt idx="92">
                  <c:v>7/30/2026</c:v>
                </c:pt>
                <c:pt idx="93">
                  <c:v>7/31/2026</c:v>
                </c:pt>
                <c:pt idx="94">
                  <c:v>8/1/2026</c:v>
                </c:pt>
                <c:pt idx="95">
                  <c:v>8/2/2026</c:v>
                </c:pt>
                <c:pt idx="96">
                  <c:v>8/3/2026</c:v>
                </c:pt>
                <c:pt idx="97">
                  <c:v>8/4/2026</c:v>
                </c:pt>
                <c:pt idx="98">
                  <c:v>8/5/2026</c:v>
                </c:pt>
                <c:pt idx="99">
                  <c:v>8/6/2026</c:v>
                </c:pt>
                <c:pt idx="100">
                  <c:v>8/7/2026</c:v>
                </c:pt>
                <c:pt idx="101">
                  <c:v>8/8/2026</c:v>
                </c:pt>
                <c:pt idx="102">
                  <c:v>8/9/2026</c:v>
                </c:pt>
                <c:pt idx="103">
                  <c:v>8/10/2026</c:v>
                </c:pt>
              </c:strCache>
            </c:strRef>
          </c:cat>
          <c:val>
            <c:numRef>
              <c:f>pivot!$M$2:$M$106</c:f>
              <c:numCache>
                <c:formatCode>General</c:formatCode>
                <c:ptCount val="104"/>
                <c:pt idx="2">
                  <c:v>10</c:v>
                </c:pt>
                <c:pt idx="3">
                  <c:v>20</c:v>
                </c:pt>
                <c:pt idx="4">
                  <c:v>10</c:v>
                </c:pt>
                <c:pt idx="5">
                  <c:v>48</c:v>
                </c:pt>
                <c:pt idx="6">
                  <c:v>190</c:v>
                </c:pt>
                <c:pt idx="7">
                  <c:v>145</c:v>
                </c:pt>
                <c:pt idx="8">
                  <c:v>150</c:v>
                </c:pt>
                <c:pt idx="9">
                  <c:v>55</c:v>
                </c:pt>
                <c:pt idx="10">
                  <c:v>55</c:v>
                </c:pt>
                <c:pt idx="11">
                  <c:v>36</c:v>
                </c:pt>
                <c:pt idx="12">
                  <c:v>30</c:v>
                </c:pt>
                <c:pt idx="13">
                  <c:v>18</c:v>
                </c:pt>
                <c:pt idx="14">
                  <c:v>0</c:v>
                </c:pt>
                <c:pt idx="15">
                  <c:v>36</c:v>
                </c:pt>
                <c:pt idx="16">
                  <c:v>30</c:v>
                </c:pt>
                <c:pt idx="17">
                  <c:v>20</c:v>
                </c:pt>
                <c:pt idx="18">
                  <c:v>60</c:v>
                </c:pt>
                <c:pt idx="19">
                  <c:v>108</c:v>
                </c:pt>
                <c:pt idx="20">
                  <c:v>78</c:v>
                </c:pt>
                <c:pt idx="21">
                  <c:v>78</c:v>
                </c:pt>
                <c:pt idx="22">
                  <c:v>108</c:v>
                </c:pt>
                <c:pt idx="23">
                  <c:v>42</c:v>
                </c:pt>
                <c:pt idx="24">
                  <c:v>48</c:v>
                </c:pt>
                <c:pt idx="25">
                  <c:v>14</c:v>
                </c:pt>
                <c:pt idx="26">
                  <c:v>10</c:v>
                </c:pt>
                <c:pt idx="27">
                  <c:v>14</c:v>
                </c:pt>
                <c:pt idx="28">
                  <c:v>32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58</c:v>
                </c:pt>
                <c:pt idx="35">
                  <c:v>36</c:v>
                </c:pt>
                <c:pt idx="36">
                  <c:v>38</c:v>
                </c:pt>
                <c:pt idx="37">
                  <c:v>84</c:v>
                </c:pt>
                <c:pt idx="38">
                  <c:v>10</c:v>
                </c:pt>
                <c:pt idx="39">
                  <c:v>58</c:v>
                </c:pt>
                <c:pt idx="40">
                  <c:v>70</c:v>
                </c:pt>
                <c:pt idx="41">
                  <c:v>137</c:v>
                </c:pt>
                <c:pt idx="42">
                  <c:v>74</c:v>
                </c:pt>
                <c:pt idx="43">
                  <c:v>123</c:v>
                </c:pt>
                <c:pt idx="44">
                  <c:v>96</c:v>
                </c:pt>
                <c:pt idx="45">
                  <c:v>195</c:v>
                </c:pt>
                <c:pt idx="46">
                  <c:v>27</c:v>
                </c:pt>
                <c:pt idx="47">
                  <c:v>35</c:v>
                </c:pt>
                <c:pt idx="48">
                  <c:v>72</c:v>
                </c:pt>
                <c:pt idx="49">
                  <c:v>69</c:v>
                </c:pt>
                <c:pt idx="50">
                  <c:v>73</c:v>
                </c:pt>
                <c:pt idx="51">
                  <c:v>38</c:v>
                </c:pt>
                <c:pt idx="52">
                  <c:v>104</c:v>
                </c:pt>
                <c:pt idx="53">
                  <c:v>110</c:v>
                </c:pt>
                <c:pt idx="54">
                  <c:v>136</c:v>
                </c:pt>
                <c:pt idx="55">
                  <c:v>108</c:v>
                </c:pt>
                <c:pt idx="56">
                  <c:v>79</c:v>
                </c:pt>
                <c:pt idx="57">
                  <c:v>67</c:v>
                </c:pt>
                <c:pt idx="58">
                  <c:v>85</c:v>
                </c:pt>
                <c:pt idx="59">
                  <c:v>42</c:v>
                </c:pt>
                <c:pt idx="60">
                  <c:v>139</c:v>
                </c:pt>
                <c:pt idx="61">
                  <c:v>222</c:v>
                </c:pt>
                <c:pt idx="62">
                  <c:v>86</c:v>
                </c:pt>
                <c:pt idx="63">
                  <c:v>101</c:v>
                </c:pt>
                <c:pt idx="64">
                  <c:v>211</c:v>
                </c:pt>
                <c:pt idx="65">
                  <c:v>328</c:v>
                </c:pt>
                <c:pt idx="66">
                  <c:v>198</c:v>
                </c:pt>
                <c:pt idx="67">
                  <c:v>140</c:v>
                </c:pt>
                <c:pt idx="68">
                  <c:v>21</c:v>
                </c:pt>
                <c:pt idx="69">
                  <c:v>106</c:v>
                </c:pt>
                <c:pt idx="70">
                  <c:v>152</c:v>
                </c:pt>
                <c:pt idx="71">
                  <c:v>121</c:v>
                </c:pt>
                <c:pt idx="72">
                  <c:v>91</c:v>
                </c:pt>
                <c:pt idx="73">
                  <c:v>91</c:v>
                </c:pt>
                <c:pt idx="74">
                  <c:v>78</c:v>
                </c:pt>
                <c:pt idx="75">
                  <c:v>77</c:v>
                </c:pt>
                <c:pt idx="76">
                  <c:v>98</c:v>
                </c:pt>
                <c:pt idx="77">
                  <c:v>44</c:v>
                </c:pt>
                <c:pt idx="78">
                  <c:v>52</c:v>
                </c:pt>
                <c:pt idx="79">
                  <c:v>23</c:v>
                </c:pt>
                <c:pt idx="80">
                  <c:v>15</c:v>
                </c:pt>
                <c:pt idx="81">
                  <c:v>3</c:v>
                </c:pt>
                <c:pt idx="82">
                  <c:v>14</c:v>
                </c:pt>
                <c:pt idx="83">
                  <c:v>17</c:v>
                </c:pt>
                <c:pt idx="84">
                  <c:v>36</c:v>
                </c:pt>
                <c:pt idx="85">
                  <c:v>58</c:v>
                </c:pt>
                <c:pt idx="86">
                  <c:v>31</c:v>
                </c:pt>
                <c:pt idx="87">
                  <c:v>24</c:v>
                </c:pt>
                <c:pt idx="88">
                  <c:v>45</c:v>
                </c:pt>
                <c:pt idx="89">
                  <c:v>31</c:v>
                </c:pt>
                <c:pt idx="90">
                  <c:v>15</c:v>
                </c:pt>
                <c:pt idx="91">
                  <c:v>43</c:v>
                </c:pt>
                <c:pt idx="92">
                  <c:v>51</c:v>
                </c:pt>
                <c:pt idx="93">
                  <c:v>36</c:v>
                </c:pt>
                <c:pt idx="94">
                  <c:v>55</c:v>
                </c:pt>
                <c:pt idx="95">
                  <c:v>19</c:v>
                </c:pt>
                <c:pt idx="96">
                  <c:v>46</c:v>
                </c:pt>
                <c:pt idx="97">
                  <c:v>30</c:v>
                </c:pt>
                <c:pt idx="98">
                  <c:v>32</c:v>
                </c:pt>
                <c:pt idx="99">
                  <c:v>40</c:v>
                </c:pt>
                <c:pt idx="100">
                  <c:v>30</c:v>
                </c:pt>
                <c:pt idx="101">
                  <c:v>56</c:v>
                </c:pt>
                <c:pt idx="102">
                  <c:v>26</c:v>
                </c:pt>
                <c:pt idx="10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7-4A20-9B6F-4070BB917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716111"/>
        <c:axId val="217526799"/>
      </c:barChart>
      <c:catAx>
        <c:axId val="2597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26799"/>
        <c:crosses val="autoZero"/>
        <c:auto val="1"/>
        <c:lblAlgn val="ctr"/>
        <c:lblOffset val="100"/>
        <c:noMultiLvlLbl val="0"/>
      </c:catAx>
      <c:valAx>
        <c:axId val="21752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[Operations_KPI_Dashboard_Portfolio.xlsx]pivot!PivotTable35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BODY WEIGHT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pivot!$N$2:$N$106</c:f>
              <c:strCache>
                <c:ptCount val="104"/>
                <c:pt idx="0">
                  <c:v>4/29/2026</c:v>
                </c:pt>
                <c:pt idx="1">
                  <c:v>4/30/2026</c:v>
                </c:pt>
                <c:pt idx="2">
                  <c:v>5/1/2026</c:v>
                </c:pt>
                <c:pt idx="3">
                  <c:v>5/2/2026</c:v>
                </c:pt>
                <c:pt idx="4">
                  <c:v>5/3/2026</c:v>
                </c:pt>
                <c:pt idx="5">
                  <c:v>5/4/2026</c:v>
                </c:pt>
                <c:pt idx="6">
                  <c:v>5/5/2026</c:v>
                </c:pt>
                <c:pt idx="7">
                  <c:v>5/6/2026</c:v>
                </c:pt>
                <c:pt idx="8">
                  <c:v>5/7/2026</c:v>
                </c:pt>
                <c:pt idx="9">
                  <c:v>5/8/2026</c:v>
                </c:pt>
                <c:pt idx="10">
                  <c:v>5/9/2026</c:v>
                </c:pt>
                <c:pt idx="11">
                  <c:v>5/10/2026</c:v>
                </c:pt>
                <c:pt idx="12">
                  <c:v>5/11/2026</c:v>
                </c:pt>
                <c:pt idx="13">
                  <c:v>5/12/2026</c:v>
                </c:pt>
                <c:pt idx="14">
                  <c:v>5/13/2026</c:v>
                </c:pt>
                <c:pt idx="15">
                  <c:v>5/14/2026</c:v>
                </c:pt>
                <c:pt idx="16">
                  <c:v>5/15/2026</c:v>
                </c:pt>
                <c:pt idx="17">
                  <c:v>5/16/2026</c:v>
                </c:pt>
                <c:pt idx="18">
                  <c:v>5/17/2026</c:v>
                </c:pt>
                <c:pt idx="19">
                  <c:v>5/18/2026</c:v>
                </c:pt>
                <c:pt idx="20">
                  <c:v>5/19/2026</c:v>
                </c:pt>
                <c:pt idx="21">
                  <c:v>5/20/2026</c:v>
                </c:pt>
                <c:pt idx="22">
                  <c:v>5/21/2026</c:v>
                </c:pt>
                <c:pt idx="23">
                  <c:v>5/22/2026</c:v>
                </c:pt>
                <c:pt idx="24">
                  <c:v>5/23/2026</c:v>
                </c:pt>
                <c:pt idx="25">
                  <c:v>5/24/2026</c:v>
                </c:pt>
                <c:pt idx="26">
                  <c:v>5/25/2026</c:v>
                </c:pt>
                <c:pt idx="27">
                  <c:v>5/26/2026</c:v>
                </c:pt>
                <c:pt idx="28">
                  <c:v>5/27/2026</c:v>
                </c:pt>
                <c:pt idx="29">
                  <c:v>5/28/2026</c:v>
                </c:pt>
                <c:pt idx="30">
                  <c:v>5/29/2026</c:v>
                </c:pt>
                <c:pt idx="31">
                  <c:v>5/30/2026</c:v>
                </c:pt>
                <c:pt idx="32">
                  <c:v>5/31/2026</c:v>
                </c:pt>
                <c:pt idx="33">
                  <c:v>6/1/2026</c:v>
                </c:pt>
                <c:pt idx="34">
                  <c:v>6/2/2026</c:v>
                </c:pt>
                <c:pt idx="35">
                  <c:v>6/3/2026</c:v>
                </c:pt>
                <c:pt idx="36">
                  <c:v>6/4/2026</c:v>
                </c:pt>
                <c:pt idx="37">
                  <c:v>6/5/2026</c:v>
                </c:pt>
                <c:pt idx="38">
                  <c:v>6/6/2026</c:v>
                </c:pt>
                <c:pt idx="39">
                  <c:v>6/7/2026</c:v>
                </c:pt>
                <c:pt idx="40">
                  <c:v>6/8/2026</c:v>
                </c:pt>
                <c:pt idx="41">
                  <c:v>6/9/2026</c:v>
                </c:pt>
                <c:pt idx="42">
                  <c:v>6/10/2026</c:v>
                </c:pt>
                <c:pt idx="43">
                  <c:v>6/11/2026</c:v>
                </c:pt>
                <c:pt idx="44">
                  <c:v>6/12/2026</c:v>
                </c:pt>
                <c:pt idx="45">
                  <c:v>6/13/2026</c:v>
                </c:pt>
                <c:pt idx="46">
                  <c:v>6/14/2026</c:v>
                </c:pt>
                <c:pt idx="47">
                  <c:v>6/15/2026</c:v>
                </c:pt>
                <c:pt idx="48">
                  <c:v>6/16/2026</c:v>
                </c:pt>
                <c:pt idx="49">
                  <c:v>6/17/2026</c:v>
                </c:pt>
                <c:pt idx="50">
                  <c:v>6/18/2026</c:v>
                </c:pt>
                <c:pt idx="51">
                  <c:v>6/19/2026</c:v>
                </c:pt>
                <c:pt idx="52">
                  <c:v>6/20/2026</c:v>
                </c:pt>
                <c:pt idx="53">
                  <c:v>6/21/2026</c:v>
                </c:pt>
                <c:pt idx="54">
                  <c:v>6/22/2026</c:v>
                </c:pt>
                <c:pt idx="55">
                  <c:v>6/23/2026</c:v>
                </c:pt>
                <c:pt idx="56">
                  <c:v>6/24/2026</c:v>
                </c:pt>
                <c:pt idx="57">
                  <c:v>6/25/2026</c:v>
                </c:pt>
                <c:pt idx="58">
                  <c:v>6/26/2026</c:v>
                </c:pt>
                <c:pt idx="59">
                  <c:v>6/27/2026</c:v>
                </c:pt>
                <c:pt idx="60">
                  <c:v>6/28/2026</c:v>
                </c:pt>
                <c:pt idx="61">
                  <c:v>6/29/2026</c:v>
                </c:pt>
                <c:pt idx="62">
                  <c:v>6/30/2026</c:v>
                </c:pt>
                <c:pt idx="63">
                  <c:v>7/1/2026</c:v>
                </c:pt>
                <c:pt idx="64">
                  <c:v>7/2/2026</c:v>
                </c:pt>
                <c:pt idx="65">
                  <c:v>7/3/2026</c:v>
                </c:pt>
                <c:pt idx="66">
                  <c:v>7/4/2026</c:v>
                </c:pt>
                <c:pt idx="67">
                  <c:v>7/5/2026</c:v>
                </c:pt>
                <c:pt idx="68">
                  <c:v>7/6/2026</c:v>
                </c:pt>
                <c:pt idx="69">
                  <c:v>7/7/2026</c:v>
                </c:pt>
                <c:pt idx="70">
                  <c:v>7/8/2026</c:v>
                </c:pt>
                <c:pt idx="71">
                  <c:v>7/9/2026</c:v>
                </c:pt>
                <c:pt idx="72">
                  <c:v>7/10/2026</c:v>
                </c:pt>
                <c:pt idx="73">
                  <c:v>7/11/2026</c:v>
                </c:pt>
                <c:pt idx="74">
                  <c:v>7/12/2026</c:v>
                </c:pt>
                <c:pt idx="75">
                  <c:v>7/13/2026</c:v>
                </c:pt>
                <c:pt idx="76">
                  <c:v>7/14/2026</c:v>
                </c:pt>
                <c:pt idx="77">
                  <c:v>7/15/2026</c:v>
                </c:pt>
                <c:pt idx="78">
                  <c:v>7/16/2026</c:v>
                </c:pt>
                <c:pt idx="79">
                  <c:v>7/17/2026</c:v>
                </c:pt>
                <c:pt idx="80">
                  <c:v>7/18/2026</c:v>
                </c:pt>
                <c:pt idx="81">
                  <c:v>7/19/2026</c:v>
                </c:pt>
                <c:pt idx="82">
                  <c:v>7/20/2026</c:v>
                </c:pt>
                <c:pt idx="83">
                  <c:v>7/21/2026</c:v>
                </c:pt>
                <c:pt idx="84">
                  <c:v>7/22/2026</c:v>
                </c:pt>
                <c:pt idx="85">
                  <c:v>7/23/2026</c:v>
                </c:pt>
                <c:pt idx="86">
                  <c:v>7/24/2026</c:v>
                </c:pt>
                <c:pt idx="87">
                  <c:v>7/25/2026</c:v>
                </c:pt>
                <c:pt idx="88">
                  <c:v>7/26/2026</c:v>
                </c:pt>
                <c:pt idx="89">
                  <c:v>7/27/2026</c:v>
                </c:pt>
                <c:pt idx="90">
                  <c:v>7/28/2026</c:v>
                </c:pt>
                <c:pt idx="91">
                  <c:v>7/29/2026</c:v>
                </c:pt>
                <c:pt idx="92">
                  <c:v>7/30/2026</c:v>
                </c:pt>
                <c:pt idx="93">
                  <c:v>7/31/2026</c:v>
                </c:pt>
                <c:pt idx="94">
                  <c:v>8/1/2026</c:v>
                </c:pt>
                <c:pt idx="95">
                  <c:v>8/2/2026</c:v>
                </c:pt>
                <c:pt idx="96">
                  <c:v>8/3/2026</c:v>
                </c:pt>
                <c:pt idx="97">
                  <c:v>8/4/2026</c:v>
                </c:pt>
                <c:pt idx="98">
                  <c:v>8/5/2026</c:v>
                </c:pt>
                <c:pt idx="99">
                  <c:v>8/6/2026</c:v>
                </c:pt>
                <c:pt idx="100">
                  <c:v>8/7/2026</c:v>
                </c:pt>
                <c:pt idx="101">
                  <c:v>8/8/2026</c:v>
                </c:pt>
                <c:pt idx="102">
                  <c:v>8/9/2026</c:v>
                </c:pt>
                <c:pt idx="103">
                  <c:v>8/10/2026</c:v>
                </c:pt>
              </c:strCache>
            </c:strRef>
          </c:cat>
          <c:val>
            <c:numRef>
              <c:f>pivot!$O$2:$O$106</c:f>
              <c:numCache>
                <c:formatCode>General</c:formatCode>
                <c:ptCount val="104"/>
                <c:pt idx="2">
                  <c:v>50</c:v>
                </c:pt>
                <c:pt idx="11">
                  <c:v>15</c:v>
                </c:pt>
                <c:pt idx="22">
                  <c:v>33</c:v>
                </c:pt>
                <c:pt idx="33">
                  <c:v>36</c:v>
                </c:pt>
                <c:pt idx="43">
                  <c:v>47</c:v>
                </c:pt>
                <c:pt idx="53">
                  <c:v>51</c:v>
                </c:pt>
                <c:pt idx="63">
                  <c:v>76</c:v>
                </c:pt>
                <c:pt idx="94">
                  <c:v>133</c:v>
                </c:pt>
                <c:pt idx="95">
                  <c:v>134</c:v>
                </c:pt>
                <c:pt idx="96">
                  <c:v>136</c:v>
                </c:pt>
                <c:pt idx="103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2-4820-8BB5-EAE0A0618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32543"/>
        <c:axId val="217454319"/>
      </c:lineChart>
      <c:catAx>
        <c:axId val="15223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54319"/>
        <c:crosses val="autoZero"/>
        <c:auto val="1"/>
        <c:lblAlgn val="ctr"/>
        <c:lblOffset val="100"/>
        <c:noMultiLvlLbl val="0"/>
      </c:catAx>
      <c:valAx>
        <c:axId val="2174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[Operations_KPI_Dashboard_Portfolio.xlsx]pivot!PivotTable36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OF FEED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pivot!$Q$1</c:f>
              <c:strCache>
                <c:ptCount val="1"/>
                <c:pt idx="0">
                  <c:v>Sum of GC#1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pivot!$P$2:$P$4</c:f>
              <c:strCache>
                <c:ptCount val="2"/>
                <c:pt idx="0">
                  <c:v>-</c:v>
                </c:pt>
                <c:pt idx="1">
                  <c:v>GC</c:v>
                </c:pt>
              </c:strCache>
            </c:strRef>
          </c:cat>
          <c:val>
            <c:numRef>
              <c:f>pivot!$Q$2:$Q$4</c:f>
              <c:numCache>
                <c:formatCode>General</c:formatCode>
                <c:ptCount val="2"/>
                <c:pt idx="1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F-4F32-B60B-1A8096D53D32}"/>
            </c:ext>
          </c:extLst>
        </c:ser>
        <c:ser>
          <c:idx val="1"/>
          <c:order val="1"/>
          <c:tx>
            <c:strRef>
              <c:f>pivot!$R$1</c:f>
              <c:strCache>
                <c:ptCount val="1"/>
                <c:pt idx="0">
                  <c:v>Sum of GC#2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pivot!$P$2:$P$4</c:f>
              <c:strCache>
                <c:ptCount val="2"/>
                <c:pt idx="0">
                  <c:v>-</c:v>
                </c:pt>
                <c:pt idx="1">
                  <c:v>GC</c:v>
                </c:pt>
              </c:strCache>
            </c:strRef>
          </c:cat>
          <c:val>
            <c:numRef>
              <c:f>pivot!$R$2:$R$4</c:f>
              <c:numCache>
                <c:formatCode>General</c:formatCode>
                <c:ptCount val="2"/>
                <c:pt idx="1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F-4F32-B60B-1A8096D53D32}"/>
            </c:ext>
          </c:extLst>
        </c:ser>
        <c:ser>
          <c:idx val="2"/>
          <c:order val="2"/>
          <c:tx>
            <c:strRef>
              <c:f>pivot!$S$1</c:f>
              <c:strCache>
                <c:ptCount val="1"/>
                <c:pt idx="0">
                  <c:v>Sum of feed/bag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pivot!$P$2:$P$4</c:f>
              <c:strCache>
                <c:ptCount val="2"/>
                <c:pt idx="0">
                  <c:v>-</c:v>
                </c:pt>
                <c:pt idx="1">
                  <c:v>GC</c:v>
                </c:pt>
              </c:strCache>
            </c:strRef>
          </c:cat>
          <c:val>
            <c:numRef>
              <c:f>pivot!$S$2:$S$4</c:f>
              <c:numCache>
                <c:formatCode>General</c:formatCode>
                <c:ptCount val="2"/>
                <c:pt idx="1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F-4F32-B60B-1A8096D5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93823"/>
        <c:axId val="217463919"/>
      </c:barChart>
      <c:catAx>
        <c:axId val="13229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63919"/>
        <c:crosses val="autoZero"/>
        <c:auto val="1"/>
        <c:lblAlgn val="ctr"/>
        <c:lblOffset val="100"/>
        <c:noMultiLvlLbl val="0"/>
      </c:catAx>
      <c:valAx>
        <c:axId val="2174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9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[Operations_KPI_Dashboard_Portfolio.xlsx]pivot!PivotTable37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SUPPLEMENT (g)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pivot!$U$1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D-4E29-8A70-9F4DD65F530C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D-4E29-8A70-9F4DD65F530C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AD-4E29-8A70-9F4DD65F530C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AD-4E29-8A70-9F4DD65F5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pivot!$T$2:$T$6</c:f>
              <c:strCache>
                <c:ptCount val="4"/>
                <c:pt idx="0">
                  <c:v>Garlic Powder</c:v>
                </c:pt>
                <c:pt idx="1">
                  <c:v>Gut Heart Enhancer</c:v>
                </c:pt>
                <c:pt idx="2">
                  <c:v>Liver Guard</c:v>
                </c:pt>
                <c:pt idx="3">
                  <c:v>Florfenicol</c:v>
                </c:pt>
              </c:strCache>
            </c:strRef>
          </c:cat>
          <c:val>
            <c:numRef>
              <c:f>pivot!$U$2:$U$6</c:f>
              <c:numCache>
                <c:formatCode>General</c:formatCode>
                <c:ptCount val="4"/>
                <c:pt idx="0">
                  <c:v>3400</c:v>
                </c:pt>
                <c:pt idx="1">
                  <c:v>3440</c:v>
                </c:pt>
                <c:pt idx="2">
                  <c:v>2500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AD-4E29-8A70-9F4DD65F53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[Operations_KPI_Dashboard_Portfolio.xlsx]pivot!PivotTable41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</a:t>
            </a:r>
            <a:r>
              <a:rPr lang="en-US" baseline="0"/>
              <a:t>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0.17171296296296296"/>
          <c:w val="0.80908705161854766"/>
          <c:h val="0.59827172645086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pivot!$AG$1</c:f>
              <c:strCache>
                <c:ptCount val="1"/>
                <c:pt idx="0">
                  <c:v>Sum of feed/cum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pivot!$AF$2:$AF$67</c:f>
              <c:strCache>
                <c:ptCount val="65"/>
                <c:pt idx="0">
                  <c:v>6/7/2026</c:v>
                </c:pt>
                <c:pt idx="1">
                  <c:v>6/8/2026</c:v>
                </c:pt>
                <c:pt idx="2">
                  <c:v>6/9/2026</c:v>
                </c:pt>
                <c:pt idx="3">
                  <c:v>6/10/2026</c:v>
                </c:pt>
                <c:pt idx="4">
                  <c:v>6/11/2026</c:v>
                </c:pt>
                <c:pt idx="5">
                  <c:v>6/12/2026</c:v>
                </c:pt>
                <c:pt idx="6">
                  <c:v>6/13/2026</c:v>
                </c:pt>
                <c:pt idx="7">
                  <c:v>6/14/2026</c:v>
                </c:pt>
                <c:pt idx="8">
                  <c:v>6/15/2026</c:v>
                </c:pt>
                <c:pt idx="9">
                  <c:v>6/16/2026</c:v>
                </c:pt>
                <c:pt idx="10">
                  <c:v>6/17/2026</c:v>
                </c:pt>
                <c:pt idx="11">
                  <c:v>6/18/2026</c:v>
                </c:pt>
                <c:pt idx="12">
                  <c:v>6/19/2026</c:v>
                </c:pt>
                <c:pt idx="13">
                  <c:v>6/20/2026</c:v>
                </c:pt>
                <c:pt idx="14">
                  <c:v>6/21/2026</c:v>
                </c:pt>
                <c:pt idx="15">
                  <c:v>6/22/2026</c:v>
                </c:pt>
                <c:pt idx="16">
                  <c:v>6/23/2026</c:v>
                </c:pt>
                <c:pt idx="17">
                  <c:v>6/24/2026</c:v>
                </c:pt>
                <c:pt idx="18">
                  <c:v>6/25/2026</c:v>
                </c:pt>
                <c:pt idx="19">
                  <c:v>6/26/2026</c:v>
                </c:pt>
                <c:pt idx="20">
                  <c:v>6/27/2026</c:v>
                </c:pt>
                <c:pt idx="21">
                  <c:v>6/28/2026</c:v>
                </c:pt>
                <c:pt idx="22">
                  <c:v>6/29/2026</c:v>
                </c:pt>
                <c:pt idx="23">
                  <c:v>6/30/2026</c:v>
                </c:pt>
                <c:pt idx="24">
                  <c:v>7/1/2026</c:v>
                </c:pt>
                <c:pt idx="25">
                  <c:v>7/2/2026</c:v>
                </c:pt>
                <c:pt idx="26">
                  <c:v>7/3/2026</c:v>
                </c:pt>
                <c:pt idx="27">
                  <c:v>7/4/2026</c:v>
                </c:pt>
                <c:pt idx="28">
                  <c:v>7/5/2026</c:v>
                </c:pt>
                <c:pt idx="29">
                  <c:v>7/6/2026</c:v>
                </c:pt>
                <c:pt idx="30">
                  <c:v>7/7/2026</c:v>
                </c:pt>
                <c:pt idx="31">
                  <c:v>7/8/2026</c:v>
                </c:pt>
                <c:pt idx="32">
                  <c:v>7/9/2026</c:v>
                </c:pt>
                <c:pt idx="33">
                  <c:v>7/10/2026</c:v>
                </c:pt>
                <c:pt idx="34">
                  <c:v>7/11/2026</c:v>
                </c:pt>
                <c:pt idx="35">
                  <c:v>7/12/2026</c:v>
                </c:pt>
                <c:pt idx="36">
                  <c:v>7/13/2026</c:v>
                </c:pt>
                <c:pt idx="37">
                  <c:v>7/14/2026</c:v>
                </c:pt>
                <c:pt idx="38">
                  <c:v>7/15/2026</c:v>
                </c:pt>
                <c:pt idx="39">
                  <c:v>7/16/2026</c:v>
                </c:pt>
                <c:pt idx="40">
                  <c:v>7/17/2026</c:v>
                </c:pt>
                <c:pt idx="41">
                  <c:v>7/18/2026</c:v>
                </c:pt>
                <c:pt idx="42">
                  <c:v>7/19/2026</c:v>
                </c:pt>
                <c:pt idx="43">
                  <c:v>7/20/2026</c:v>
                </c:pt>
                <c:pt idx="44">
                  <c:v>7/21/2026</c:v>
                </c:pt>
                <c:pt idx="45">
                  <c:v>7/22/2026</c:v>
                </c:pt>
                <c:pt idx="46">
                  <c:v>7/23/2026</c:v>
                </c:pt>
                <c:pt idx="47">
                  <c:v>7/24/2026</c:v>
                </c:pt>
                <c:pt idx="48">
                  <c:v>7/25/2026</c:v>
                </c:pt>
                <c:pt idx="49">
                  <c:v>7/26/2026</c:v>
                </c:pt>
                <c:pt idx="50">
                  <c:v>7/27/2026</c:v>
                </c:pt>
                <c:pt idx="51">
                  <c:v>7/28/2026</c:v>
                </c:pt>
                <c:pt idx="52">
                  <c:v>7/29/2026</c:v>
                </c:pt>
                <c:pt idx="53">
                  <c:v>7/30/2026</c:v>
                </c:pt>
                <c:pt idx="54">
                  <c:v>7/31/2026</c:v>
                </c:pt>
                <c:pt idx="55">
                  <c:v>8/1/2026</c:v>
                </c:pt>
                <c:pt idx="56">
                  <c:v>8/2/2026</c:v>
                </c:pt>
                <c:pt idx="57">
                  <c:v>8/3/2026</c:v>
                </c:pt>
                <c:pt idx="58">
                  <c:v>8/4/2026</c:v>
                </c:pt>
                <c:pt idx="59">
                  <c:v>8/5/2026</c:v>
                </c:pt>
                <c:pt idx="60">
                  <c:v>8/6/2026</c:v>
                </c:pt>
                <c:pt idx="61">
                  <c:v>8/7/2026</c:v>
                </c:pt>
                <c:pt idx="62">
                  <c:v>8/8/2026</c:v>
                </c:pt>
                <c:pt idx="63">
                  <c:v>8/9/2026</c:v>
                </c:pt>
                <c:pt idx="64">
                  <c:v>8/10/2026</c:v>
                </c:pt>
              </c:strCache>
            </c:strRef>
          </c:cat>
          <c:val>
            <c:numRef>
              <c:f>pivot!$AG$2:$AG$67</c:f>
              <c:numCache>
                <c:formatCode>General</c:formatCode>
                <c:ptCount val="65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560</c:v>
                </c:pt>
                <c:pt idx="11">
                  <c:v>640</c:v>
                </c:pt>
                <c:pt idx="12">
                  <c:v>720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1100</c:v>
                </c:pt>
                <c:pt idx="17">
                  <c:v>1220</c:v>
                </c:pt>
                <c:pt idx="18">
                  <c:v>1340</c:v>
                </c:pt>
                <c:pt idx="19">
                  <c:v>1460</c:v>
                </c:pt>
                <c:pt idx="20">
                  <c:v>1580</c:v>
                </c:pt>
                <c:pt idx="21">
                  <c:v>1700</c:v>
                </c:pt>
                <c:pt idx="22">
                  <c:v>1820</c:v>
                </c:pt>
                <c:pt idx="23">
                  <c:v>1960</c:v>
                </c:pt>
                <c:pt idx="24">
                  <c:v>2120</c:v>
                </c:pt>
                <c:pt idx="25">
                  <c:v>2120</c:v>
                </c:pt>
                <c:pt idx="26">
                  <c:v>2280</c:v>
                </c:pt>
                <c:pt idx="27">
                  <c:v>2380</c:v>
                </c:pt>
                <c:pt idx="28">
                  <c:v>2580</c:v>
                </c:pt>
                <c:pt idx="29">
                  <c:v>2780</c:v>
                </c:pt>
                <c:pt idx="30">
                  <c:v>3000</c:v>
                </c:pt>
                <c:pt idx="31">
                  <c:v>3220</c:v>
                </c:pt>
                <c:pt idx="32">
                  <c:v>3420</c:v>
                </c:pt>
                <c:pt idx="33">
                  <c:v>3620</c:v>
                </c:pt>
                <c:pt idx="34">
                  <c:v>3800</c:v>
                </c:pt>
                <c:pt idx="35">
                  <c:v>3960</c:v>
                </c:pt>
                <c:pt idx="36">
                  <c:v>4120</c:v>
                </c:pt>
                <c:pt idx="37">
                  <c:v>4240</c:v>
                </c:pt>
                <c:pt idx="38">
                  <c:v>4360</c:v>
                </c:pt>
                <c:pt idx="39">
                  <c:v>4440</c:v>
                </c:pt>
                <c:pt idx="40">
                  <c:v>4520</c:v>
                </c:pt>
                <c:pt idx="41">
                  <c:v>4540</c:v>
                </c:pt>
                <c:pt idx="42">
                  <c:v>4600</c:v>
                </c:pt>
                <c:pt idx="43">
                  <c:v>4760</c:v>
                </c:pt>
                <c:pt idx="44">
                  <c:v>4960</c:v>
                </c:pt>
                <c:pt idx="45">
                  <c:v>5160</c:v>
                </c:pt>
                <c:pt idx="46">
                  <c:v>5400</c:v>
                </c:pt>
                <c:pt idx="47">
                  <c:v>5600</c:v>
                </c:pt>
                <c:pt idx="48">
                  <c:v>5840</c:v>
                </c:pt>
                <c:pt idx="49">
                  <c:v>6040</c:v>
                </c:pt>
                <c:pt idx="50">
                  <c:v>6300</c:v>
                </c:pt>
                <c:pt idx="51">
                  <c:v>6360</c:v>
                </c:pt>
                <c:pt idx="52">
                  <c:v>6420</c:v>
                </c:pt>
                <c:pt idx="53">
                  <c:v>6480</c:v>
                </c:pt>
                <c:pt idx="54">
                  <c:v>6580</c:v>
                </c:pt>
                <c:pt idx="55">
                  <c:v>6780</c:v>
                </c:pt>
                <c:pt idx="56">
                  <c:v>6980</c:v>
                </c:pt>
                <c:pt idx="57">
                  <c:v>7200</c:v>
                </c:pt>
                <c:pt idx="58">
                  <c:v>7420</c:v>
                </c:pt>
                <c:pt idx="59">
                  <c:v>7640</c:v>
                </c:pt>
                <c:pt idx="60">
                  <c:v>7860</c:v>
                </c:pt>
                <c:pt idx="61">
                  <c:v>8080</c:v>
                </c:pt>
                <c:pt idx="62">
                  <c:v>8300</c:v>
                </c:pt>
                <c:pt idx="63">
                  <c:v>8520</c:v>
                </c:pt>
                <c:pt idx="64">
                  <c:v>8740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2-4594-80AF-E49AFCFD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344704"/>
        <c:axId val="217532079"/>
      </c:barChart>
      <c:lineChart>
        <c:grouping val="standard"/>
        <c:varyColors val="0"/>
        <c:ser>
          <c:idx val="1"/>
          <c:order val="1"/>
          <c:tx>
            <c:strRef>
              <c:f>pivot!$AH$1</c:f>
              <c:strCache>
                <c:ptCount val="1"/>
                <c:pt idx="0">
                  <c:v>Sum of feed/day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pivot!$AF$2:$AF$67</c:f>
              <c:strCache>
                <c:ptCount val="65"/>
                <c:pt idx="0">
                  <c:v>6/7/2026</c:v>
                </c:pt>
                <c:pt idx="1">
                  <c:v>6/8/2026</c:v>
                </c:pt>
                <c:pt idx="2">
                  <c:v>6/9/2026</c:v>
                </c:pt>
                <c:pt idx="3">
                  <c:v>6/10/2026</c:v>
                </c:pt>
                <c:pt idx="4">
                  <c:v>6/11/2026</c:v>
                </c:pt>
                <c:pt idx="5">
                  <c:v>6/12/2026</c:v>
                </c:pt>
                <c:pt idx="6">
                  <c:v>6/13/2026</c:v>
                </c:pt>
                <c:pt idx="7">
                  <c:v>6/14/2026</c:v>
                </c:pt>
                <c:pt idx="8">
                  <c:v>6/15/2026</c:v>
                </c:pt>
                <c:pt idx="9">
                  <c:v>6/16/2026</c:v>
                </c:pt>
                <c:pt idx="10">
                  <c:v>6/17/2026</c:v>
                </c:pt>
                <c:pt idx="11">
                  <c:v>6/18/2026</c:v>
                </c:pt>
                <c:pt idx="12">
                  <c:v>6/19/2026</c:v>
                </c:pt>
                <c:pt idx="13">
                  <c:v>6/20/2026</c:v>
                </c:pt>
                <c:pt idx="14">
                  <c:v>6/21/2026</c:v>
                </c:pt>
                <c:pt idx="15">
                  <c:v>6/22/2026</c:v>
                </c:pt>
                <c:pt idx="16">
                  <c:v>6/23/2026</c:v>
                </c:pt>
                <c:pt idx="17">
                  <c:v>6/24/2026</c:v>
                </c:pt>
                <c:pt idx="18">
                  <c:v>6/25/2026</c:v>
                </c:pt>
                <c:pt idx="19">
                  <c:v>6/26/2026</c:v>
                </c:pt>
                <c:pt idx="20">
                  <c:v>6/27/2026</c:v>
                </c:pt>
                <c:pt idx="21">
                  <c:v>6/28/2026</c:v>
                </c:pt>
                <c:pt idx="22">
                  <c:v>6/29/2026</c:v>
                </c:pt>
                <c:pt idx="23">
                  <c:v>6/30/2026</c:v>
                </c:pt>
                <c:pt idx="24">
                  <c:v>7/1/2026</c:v>
                </c:pt>
                <c:pt idx="25">
                  <c:v>7/2/2026</c:v>
                </c:pt>
                <c:pt idx="26">
                  <c:v>7/3/2026</c:v>
                </c:pt>
                <c:pt idx="27">
                  <c:v>7/4/2026</c:v>
                </c:pt>
                <c:pt idx="28">
                  <c:v>7/5/2026</c:v>
                </c:pt>
                <c:pt idx="29">
                  <c:v>7/6/2026</c:v>
                </c:pt>
                <c:pt idx="30">
                  <c:v>7/7/2026</c:v>
                </c:pt>
                <c:pt idx="31">
                  <c:v>7/8/2026</c:v>
                </c:pt>
                <c:pt idx="32">
                  <c:v>7/9/2026</c:v>
                </c:pt>
                <c:pt idx="33">
                  <c:v>7/10/2026</c:v>
                </c:pt>
                <c:pt idx="34">
                  <c:v>7/11/2026</c:v>
                </c:pt>
                <c:pt idx="35">
                  <c:v>7/12/2026</c:v>
                </c:pt>
                <c:pt idx="36">
                  <c:v>7/13/2026</c:v>
                </c:pt>
                <c:pt idx="37">
                  <c:v>7/14/2026</c:v>
                </c:pt>
                <c:pt idx="38">
                  <c:v>7/15/2026</c:v>
                </c:pt>
                <c:pt idx="39">
                  <c:v>7/16/2026</c:v>
                </c:pt>
                <c:pt idx="40">
                  <c:v>7/17/2026</c:v>
                </c:pt>
                <c:pt idx="41">
                  <c:v>7/18/2026</c:v>
                </c:pt>
                <c:pt idx="42">
                  <c:v>7/19/2026</c:v>
                </c:pt>
                <c:pt idx="43">
                  <c:v>7/20/2026</c:v>
                </c:pt>
                <c:pt idx="44">
                  <c:v>7/21/2026</c:v>
                </c:pt>
                <c:pt idx="45">
                  <c:v>7/22/2026</c:v>
                </c:pt>
                <c:pt idx="46">
                  <c:v>7/23/2026</c:v>
                </c:pt>
                <c:pt idx="47">
                  <c:v>7/24/2026</c:v>
                </c:pt>
                <c:pt idx="48">
                  <c:v>7/25/2026</c:v>
                </c:pt>
                <c:pt idx="49">
                  <c:v>7/26/2026</c:v>
                </c:pt>
                <c:pt idx="50">
                  <c:v>7/27/2026</c:v>
                </c:pt>
                <c:pt idx="51">
                  <c:v>7/28/2026</c:v>
                </c:pt>
                <c:pt idx="52">
                  <c:v>7/29/2026</c:v>
                </c:pt>
                <c:pt idx="53">
                  <c:v>7/30/2026</c:v>
                </c:pt>
                <c:pt idx="54">
                  <c:v>7/31/2026</c:v>
                </c:pt>
                <c:pt idx="55">
                  <c:v>8/1/2026</c:v>
                </c:pt>
                <c:pt idx="56">
                  <c:v>8/2/2026</c:v>
                </c:pt>
                <c:pt idx="57">
                  <c:v>8/3/2026</c:v>
                </c:pt>
                <c:pt idx="58">
                  <c:v>8/4/2026</c:v>
                </c:pt>
                <c:pt idx="59">
                  <c:v>8/5/2026</c:v>
                </c:pt>
                <c:pt idx="60">
                  <c:v>8/6/2026</c:v>
                </c:pt>
                <c:pt idx="61">
                  <c:v>8/7/2026</c:v>
                </c:pt>
                <c:pt idx="62">
                  <c:v>8/8/2026</c:v>
                </c:pt>
                <c:pt idx="63">
                  <c:v>8/9/2026</c:v>
                </c:pt>
                <c:pt idx="64">
                  <c:v>8/10/2026</c:v>
                </c:pt>
              </c:strCache>
            </c:strRef>
          </c:cat>
          <c:val>
            <c:numRef>
              <c:f>pivot!$AH$2:$AH$67</c:f>
              <c:numCache>
                <c:formatCode>General</c:formatCode>
                <c:ptCount val="65"/>
                <c:pt idx="0">
                  <c:v>20</c:v>
                </c:pt>
                <c:pt idx="1">
                  <c:v>20</c:v>
                </c:pt>
                <c:pt idx="2">
                  <c:v>40</c:v>
                </c:pt>
                <c:pt idx="3">
                  <c:v>40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140</c:v>
                </c:pt>
                <c:pt idx="24">
                  <c:v>160</c:v>
                </c:pt>
                <c:pt idx="25">
                  <c:v>0</c:v>
                </c:pt>
                <c:pt idx="26">
                  <c:v>160</c:v>
                </c:pt>
                <c:pt idx="27">
                  <c:v>100</c:v>
                </c:pt>
                <c:pt idx="28">
                  <c:v>200</c:v>
                </c:pt>
                <c:pt idx="29">
                  <c:v>200</c:v>
                </c:pt>
                <c:pt idx="30">
                  <c:v>220</c:v>
                </c:pt>
                <c:pt idx="31">
                  <c:v>220</c:v>
                </c:pt>
                <c:pt idx="32">
                  <c:v>200</c:v>
                </c:pt>
                <c:pt idx="33">
                  <c:v>200</c:v>
                </c:pt>
                <c:pt idx="34">
                  <c:v>180</c:v>
                </c:pt>
                <c:pt idx="35">
                  <c:v>160</c:v>
                </c:pt>
                <c:pt idx="36">
                  <c:v>160</c:v>
                </c:pt>
                <c:pt idx="37">
                  <c:v>120</c:v>
                </c:pt>
                <c:pt idx="38">
                  <c:v>120</c:v>
                </c:pt>
                <c:pt idx="39">
                  <c:v>80</c:v>
                </c:pt>
                <c:pt idx="40">
                  <c:v>80</c:v>
                </c:pt>
                <c:pt idx="41">
                  <c:v>20</c:v>
                </c:pt>
                <c:pt idx="42">
                  <c:v>60</c:v>
                </c:pt>
                <c:pt idx="43">
                  <c:v>160</c:v>
                </c:pt>
                <c:pt idx="44">
                  <c:v>200</c:v>
                </c:pt>
                <c:pt idx="45">
                  <c:v>200</c:v>
                </c:pt>
                <c:pt idx="46">
                  <c:v>240</c:v>
                </c:pt>
                <c:pt idx="47">
                  <c:v>200</c:v>
                </c:pt>
                <c:pt idx="48">
                  <c:v>240</c:v>
                </c:pt>
                <c:pt idx="49">
                  <c:v>200</c:v>
                </c:pt>
                <c:pt idx="50">
                  <c:v>260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100</c:v>
                </c:pt>
                <c:pt idx="55">
                  <c:v>200</c:v>
                </c:pt>
                <c:pt idx="56">
                  <c:v>200</c:v>
                </c:pt>
                <c:pt idx="57">
                  <c:v>220</c:v>
                </c:pt>
                <c:pt idx="58">
                  <c:v>220</c:v>
                </c:pt>
                <c:pt idx="59">
                  <c:v>220</c:v>
                </c:pt>
                <c:pt idx="60">
                  <c:v>220</c:v>
                </c:pt>
                <c:pt idx="61">
                  <c:v>220</c:v>
                </c:pt>
                <c:pt idx="62">
                  <c:v>220</c:v>
                </c:pt>
                <c:pt idx="63">
                  <c:v>220</c:v>
                </c:pt>
                <c:pt idx="64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2-4594-80AF-E49AFCFD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384608"/>
        <c:axId val="217351119"/>
      </c:lineChart>
      <c:catAx>
        <c:axId val="203434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32079"/>
        <c:crosses val="autoZero"/>
        <c:auto val="1"/>
        <c:lblAlgn val="ctr"/>
        <c:lblOffset val="100"/>
        <c:noMultiLvlLbl val="0"/>
      </c:catAx>
      <c:valAx>
        <c:axId val="2175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344704"/>
        <c:crosses val="autoZero"/>
        <c:crossBetween val="between"/>
      </c:valAx>
      <c:valAx>
        <c:axId val="217351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384608"/>
        <c:crosses val="max"/>
        <c:crossBetween val="between"/>
      </c:valAx>
      <c:catAx>
        <c:axId val="203438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735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218111971440795"/>
          <c:y val="5.1712233887430736E-2"/>
          <c:w val="0.69341776027996505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[Operations_KPI_Dashboard_Portfolio.xlsx]pivot!PivotTable42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3648293963255"/>
          <c:y val="0.17171296296296296"/>
          <c:w val="0.7925306211723534"/>
          <c:h val="0.59827172645086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pivot!$AJ$1</c:f>
              <c:strCache>
                <c:ptCount val="1"/>
                <c:pt idx="0">
                  <c:v>Sum of actual 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pivot!$AI$2:$AI$67</c:f>
              <c:strCache>
                <c:ptCount val="65"/>
                <c:pt idx="0">
                  <c:v>6/7/2026</c:v>
                </c:pt>
                <c:pt idx="1">
                  <c:v>6/8/2026</c:v>
                </c:pt>
                <c:pt idx="2">
                  <c:v>6/9/2026</c:v>
                </c:pt>
                <c:pt idx="3">
                  <c:v>6/10/2026</c:v>
                </c:pt>
                <c:pt idx="4">
                  <c:v>6/11/2026</c:v>
                </c:pt>
                <c:pt idx="5">
                  <c:v>6/12/2026</c:v>
                </c:pt>
                <c:pt idx="6">
                  <c:v>6/13/2026</c:v>
                </c:pt>
                <c:pt idx="7">
                  <c:v>6/14/2026</c:v>
                </c:pt>
                <c:pt idx="8">
                  <c:v>6/15/2026</c:v>
                </c:pt>
                <c:pt idx="9">
                  <c:v>6/16/2026</c:v>
                </c:pt>
                <c:pt idx="10">
                  <c:v>6/17/2026</c:v>
                </c:pt>
                <c:pt idx="11">
                  <c:v>6/18/2026</c:v>
                </c:pt>
                <c:pt idx="12">
                  <c:v>6/19/2026</c:v>
                </c:pt>
                <c:pt idx="13">
                  <c:v>6/20/2026</c:v>
                </c:pt>
                <c:pt idx="14">
                  <c:v>6/21/2026</c:v>
                </c:pt>
                <c:pt idx="15">
                  <c:v>6/22/2026</c:v>
                </c:pt>
                <c:pt idx="16">
                  <c:v>6/23/2026</c:v>
                </c:pt>
                <c:pt idx="17">
                  <c:v>6/24/2026</c:v>
                </c:pt>
                <c:pt idx="18">
                  <c:v>6/25/2026</c:v>
                </c:pt>
                <c:pt idx="19">
                  <c:v>6/26/2026</c:v>
                </c:pt>
                <c:pt idx="20">
                  <c:v>6/27/2026</c:v>
                </c:pt>
                <c:pt idx="21">
                  <c:v>6/28/2026</c:v>
                </c:pt>
                <c:pt idx="22">
                  <c:v>6/29/2026</c:v>
                </c:pt>
                <c:pt idx="23">
                  <c:v>6/30/2026</c:v>
                </c:pt>
                <c:pt idx="24">
                  <c:v>7/1/2026</c:v>
                </c:pt>
                <c:pt idx="25">
                  <c:v>7/2/2026</c:v>
                </c:pt>
                <c:pt idx="26">
                  <c:v>7/3/2026</c:v>
                </c:pt>
                <c:pt idx="27">
                  <c:v>7/4/2026</c:v>
                </c:pt>
                <c:pt idx="28">
                  <c:v>7/5/2026</c:v>
                </c:pt>
                <c:pt idx="29">
                  <c:v>7/6/2026</c:v>
                </c:pt>
                <c:pt idx="30">
                  <c:v>7/7/2026</c:v>
                </c:pt>
                <c:pt idx="31">
                  <c:v>7/8/2026</c:v>
                </c:pt>
                <c:pt idx="32">
                  <c:v>7/9/2026</c:v>
                </c:pt>
                <c:pt idx="33">
                  <c:v>7/10/2026</c:v>
                </c:pt>
                <c:pt idx="34">
                  <c:v>7/11/2026</c:v>
                </c:pt>
                <c:pt idx="35">
                  <c:v>7/12/2026</c:v>
                </c:pt>
                <c:pt idx="36">
                  <c:v>7/13/2026</c:v>
                </c:pt>
                <c:pt idx="37">
                  <c:v>7/14/2026</c:v>
                </c:pt>
                <c:pt idx="38">
                  <c:v>7/15/2026</c:v>
                </c:pt>
                <c:pt idx="39">
                  <c:v>7/16/2026</c:v>
                </c:pt>
                <c:pt idx="40">
                  <c:v>7/17/2026</c:v>
                </c:pt>
                <c:pt idx="41">
                  <c:v>7/18/2026</c:v>
                </c:pt>
                <c:pt idx="42">
                  <c:v>7/19/2026</c:v>
                </c:pt>
                <c:pt idx="43">
                  <c:v>7/20/2026</c:v>
                </c:pt>
                <c:pt idx="44">
                  <c:v>7/21/2026</c:v>
                </c:pt>
                <c:pt idx="45">
                  <c:v>7/22/2026</c:v>
                </c:pt>
                <c:pt idx="46">
                  <c:v>7/23/2026</c:v>
                </c:pt>
                <c:pt idx="47">
                  <c:v>7/24/2026</c:v>
                </c:pt>
                <c:pt idx="48">
                  <c:v>7/25/2026</c:v>
                </c:pt>
                <c:pt idx="49">
                  <c:v>7/26/2026</c:v>
                </c:pt>
                <c:pt idx="50">
                  <c:v>7/27/2026</c:v>
                </c:pt>
                <c:pt idx="51">
                  <c:v>7/28/2026</c:v>
                </c:pt>
                <c:pt idx="52">
                  <c:v>7/29/2026</c:v>
                </c:pt>
                <c:pt idx="53">
                  <c:v>7/30/2026</c:v>
                </c:pt>
                <c:pt idx="54">
                  <c:v>7/31/2026</c:v>
                </c:pt>
                <c:pt idx="55">
                  <c:v>8/1/2026</c:v>
                </c:pt>
                <c:pt idx="56">
                  <c:v>8/2/2026</c:v>
                </c:pt>
                <c:pt idx="57">
                  <c:v>8/3/2026</c:v>
                </c:pt>
                <c:pt idx="58">
                  <c:v>8/4/2026</c:v>
                </c:pt>
                <c:pt idx="59">
                  <c:v>8/5/2026</c:v>
                </c:pt>
                <c:pt idx="60">
                  <c:v>8/6/2026</c:v>
                </c:pt>
                <c:pt idx="61">
                  <c:v>8/7/2026</c:v>
                </c:pt>
                <c:pt idx="62">
                  <c:v>8/8/2026</c:v>
                </c:pt>
                <c:pt idx="63">
                  <c:v>8/9/2026</c:v>
                </c:pt>
                <c:pt idx="64">
                  <c:v>8/10/2026</c:v>
                </c:pt>
              </c:strCache>
            </c:strRef>
          </c:cat>
          <c:val>
            <c:numRef>
              <c:f>pivot!$AJ$2:$AJ$67</c:f>
              <c:numCache>
                <c:formatCode>General</c:formatCode>
                <c:ptCount val="65"/>
                <c:pt idx="0">
                  <c:v>119200</c:v>
                </c:pt>
                <c:pt idx="1">
                  <c:v>119200</c:v>
                </c:pt>
                <c:pt idx="2">
                  <c:v>119200</c:v>
                </c:pt>
                <c:pt idx="3">
                  <c:v>119200</c:v>
                </c:pt>
                <c:pt idx="4">
                  <c:v>119200</c:v>
                </c:pt>
                <c:pt idx="5">
                  <c:v>119194</c:v>
                </c:pt>
                <c:pt idx="6">
                  <c:v>119192</c:v>
                </c:pt>
                <c:pt idx="7">
                  <c:v>119189</c:v>
                </c:pt>
                <c:pt idx="8">
                  <c:v>119174</c:v>
                </c:pt>
                <c:pt idx="9">
                  <c:v>119134</c:v>
                </c:pt>
                <c:pt idx="10">
                  <c:v>119108</c:v>
                </c:pt>
                <c:pt idx="11">
                  <c:v>119096</c:v>
                </c:pt>
                <c:pt idx="12">
                  <c:v>119086</c:v>
                </c:pt>
                <c:pt idx="13">
                  <c:v>119072</c:v>
                </c:pt>
                <c:pt idx="14">
                  <c:v>119057</c:v>
                </c:pt>
                <c:pt idx="15">
                  <c:v>119047</c:v>
                </c:pt>
                <c:pt idx="16">
                  <c:v>119021</c:v>
                </c:pt>
                <c:pt idx="17">
                  <c:v>118989</c:v>
                </c:pt>
                <c:pt idx="18">
                  <c:v>118983</c:v>
                </c:pt>
                <c:pt idx="19">
                  <c:v>118967</c:v>
                </c:pt>
                <c:pt idx="20">
                  <c:v>118923</c:v>
                </c:pt>
                <c:pt idx="21">
                  <c:v>118909</c:v>
                </c:pt>
                <c:pt idx="22">
                  <c:v>118861</c:v>
                </c:pt>
                <c:pt idx="23">
                  <c:v>118810</c:v>
                </c:pt>
                <c:pt idx="24">
                  <c:v>118643</c:v>
                </c:pt>
                <c:pt idx="25">
                  <c:v>118643</c:v>
                </c:pt>
                <c:pt idx="26">
                  <c:v>118435</c:v>
                </c:pt>
                <c:pt idx="27">
                  <c:v>118293</c:v>
                </c:pt>
                <c:pt idx="28">
                  <c:v>118022</c:v>
                </c:pt>
                <c:pt idx="29">
                  <c:v>117939</c:v>
                </c:pt>
                <c:pt idx="30">
                  <c:v>117925</c:v>
                </c:pt>
                <c:pt idx="31">
                  <c:v>117859</c:v>
                </c:pt>
                <c:pt idx="32">
                  <c:v>117797</c:v>
                </c:pt>
                <c:pt idx="33">
                  <c:v>117639</c:v>
                </c:pt>
                <c:pt idx="34">
                  <c:v>117477</c:v>
                </c:pt>
                <c:pt idx="35">
                  <c:v>117383</c:v>
                </c:pt>
                <c:pt idx="36">
                  <c:v>117352</c:v>
                </c:pt>
                <c:pt idx="37">
                  <c:v>116916</c:v>
                </c:pt>
                <c:pt idx="38">
                  <c:v>116311</c:v>
                </c:pt>
                <c:pt idx="39">
                  <c:v>116076</c:v>
                </c:pt>
                <c:pt idx="40">
                  <c:v>115775</c:v>
                </c:pt>
                <c:pt idx="41">
                  <c:v>115518</c:v>
                </c:pt>
                <c:pt idx="42">
                  <c:v>115139</c:v>
                </c:pt>
                <c:pt idx="43">
                  <c:v>114930</c:v>
                </c:pt>
                <c:pt idx="44">
                  <c:v>114617</c:v>
                </c:pt>
                <c:pt idx="45">
                  <c:v>113928</c:v>
                </c:pt>
                <c:pt idx="46">
                  <c:v>113419</c:v>
                </c:pt>
                <c:pt idx="47">
                  <c:v>113167</c:v>
                </c:pt>
                <c:pt idx="48">
                  <c:v>112890</c:v>
                </c:pt>
                <c:pt idx="49">
                  <c:v>112398</c:v>
                </c:pt>
                <c:pt idx="50">
                  <c:v>111867</c:v>
                </c:pt>
                <c:pt idx="51">
                  <c:v>111729</c:v>
                </c:pt>
                <c:pt idx="52">
                  <c:v>111528</c:v>
                </c:pt>
                <c:pt idx="53">
                  <c:v>111406</c:v>
                </c:pt>
                <c:pt idx="54">
                  <c:v>111321</c:v>
                </c:pt>
                <c:pt idx="55">
                  <c:v>111222</c:v>
                </c:pt>
                <c:pt idx="56">
                  <c:v>111220</c:v>
                </c:pt>
                <c:pt idx="57">
                  <c:v>111186</c:v>
                </c:pt>
                <c:pt idx="58">
                  <c:v>111072</c:v>
                </c:pt>
                <c:pt idx="59">
                  <c:v>111017</c:v>
                </c:pt>
                <c:pt idx="60">
                  <c:v>110955</c:v>
                </c:pt>
                <c:pt idx="61">
                  <c:v>110889</c:v>
                </c:pt>
                <c:pt idx="62">
                  <c:v>110825</c:v>
                </c:pt>
                <c:pt idx="63">
                  <c:v>110780</c:v>
                </c:pt>
                <c:pt idx="64">
                  <c:v>110713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C-4740-8303-B433351B7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599183"/>
        <c:axId val="217452879"/>
      </c:barChart>
      <c:lineChart>
        <c:grouping val="standard"/>
        <c:varyColors val="0"/>
        <c:ser>
          <c:idx val="1"/>
          <c:order val="1"/>
          <c:tx>
            <c:strRef>
              <c:f>pivot!$AK$1</c:f>
              <c:strCache>
                <c:ptCount val="1"/>
                <c:pt idx="0">
                  <c:v>Sum of actual SR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pivot!$AI$2:$AI$67</c:f>
              <c:strCache>
                <c:ptCount val="65"/>
                <c:pt idx="0">
                  <c:v>6/7/2026</c:v>
                </c:pt>
                <c:pt idx="1">
                  <c:v>6/8/2026</c:v>
                </c:pt>
                <c:pt idx="2">
                  <c:v>6/9/2026</c:v>
                </c:pt>
                <c:pt idx="3">
                  <c:v>6/10/2026</c:v>
                </c:pt>
                <c:pt idx="4">
                  <c:v>6/11/2026</c:v>
                </c:pt>
                <c:pt idx="5">
                  <c:v>6/12/2026</c:v>
                </c:pt>
                <c:pt idx="6">
                  <c:v>6/13/2026</c:v>
                </c:pt>
                <c:pt idx="7">
                  <c:v>6/14/2026</c:v>
                </c:pt>
                <c:pt idx="8">
                  <c:v>6/15/2026</c:v>
                </c:pt>
                <c:pt idx="9">
                  <c:v>6/16/2026</c:v>
                </c:pt>
                <c:pt idx="10">
                  <c:v>6/17/2026</c:v>
                </c:pt>
                <c:pt idx="11">
                  <c:v>6/18/2026</c:v>
                </c:pt>
                <c:pt idx="12">
                  <c:v>6/19/2026</c:v>
                </c:pt>
                <c:pt idx="13">
                  <c:v>6/20/2026</c:v>
                </c:pt>
                <c:pt idx="14">
                  <c:v>6/21/2026</c:v>
                </c:pt>
                <c:pt idx="15">
                  <c:v>6/22/2026</c:v>
                </c:pt>
                <c:pt idx="16">
                  <c:v>6/23/2026</c:v>
                </c:pt>
                <c:pt idx="17">
                  <c:v>6/24/2026</c:v>
                </c:pt>
                <c:pt idx="18">
                  <c:v>6/25/2026</c:v>
                </c:pt>
                <c:pt idx="19">
                  <c:v>6/26/2026</c:v>
                </c:pt>
                <c:pt idx="20">
                  <c:v>6/27/2026</c:v>
                </c:pt>
                <c:pt idx="21">
                  <c:v>6/28/2026</c:v>
                </c:pt>
                <c:pt idx="22">
                  <c:v>6/29/2026</c:v>
                </c:pt>
                <c:pt idx="23">
                  <c:v>6/30/2026</c:v>
                </c:pt>
                <c:pt idx="24">
                  <c:v>7/1/2026</c:v>
                </c:pt>
                <c:pt idx="25">
                  <c:v>7/2/2026</c:v>
                </c:pt>
                <c:pt idx="26">
                  <c:v>7/3/2026</c:v>
                </c:pt>
                <c:pt idx="27">
                  <c:v>7/4/2026</c:v>
                </c:pt>
                <c:pt idx="28">
                  <c:v>7/5/2026</c:v>
                </c:pt>
                <c:pt idx="29">
                  <c:v>7/6/2026</c:v>
                </c:pt>
                <c:pt idx="30">
                  <c:v>7/7/2026</c:v>
                </c:pt>
                <c:pt idx="31">
                  <c:v>7/8/2026</c:v>
                </c:pt>
                <c:pt idx="32">
                  <c:v>7/9/2026</c:v>
                </c:pt>
                <c:pt idx="33">
                  <c:v>7/10/2026</c:v>
                </c:pt>
                <c:pt idx="34">
                  <c:v>7/11/2026</c:v>
                </c:pt>
                <c:pt idx="35">
                  <c:v>7/12/2026</c:v>
                </c:pt>
                <c:pt idx="36">
                  <c:v>7/13/2026</c:v>
                </c:pt>
                <c:pt idx="37">
                  <c:v>7/14/2026</c:v>
                </c:pt>
                <c:pt idx="38">
                  <c:v>7/15/2026</c:v>
                </c:pt>
                <c:pt idx="39">
                  <c:v>7/16/2026</c:v>
                </c:pt>
                <c:pt idx="40">
                  <c:v>7/17/2026</c:v>
                </c:pt>
                <c:pt idx="41">
                  <c:v>7/18/2026</c:v>
                </c:pt>
                <c:pt idx="42">
                  <c:v>7/19/2026</c:v>
                </c:pt>
                <c:pt idx="43">
                  <c:v>7/20/2026</c:v>
                </c:pt>
                <c:pt idx="44">
                  <c:v>7/21/2026</c:v>
                </c:pt>
                <c:pt idx="45">
                  <c:v>7/22/2026</c:v>
                </c:pt>
                <c:pt idx="46">
                  <c:v>7/23/2026</c:v>
                </c:pt>
                <c:pt idx="47">
                  <c:v>7/24/2026</c:v>
                </c:pt>
                <c:pt idx="48">
                  <c:v>7/25/2026</c:v>
                </c:pt>
                <c:pt idx="49">
                  <c:v>7/26/2026</c:v>
                </c:pt>
                <c:pt idx="50">
                  <c:v>7/27/2026</c:v>
                </c:pt>
                <c:pt idx="51">
                  <c:v>7/28/2026</c:v>
                </c:pt>
                <c:pt idx="52">
                  <c:v>7/29/2026</c:v>
                </c:pt>
                <c:pt idx="53">
                  <c:v>7/30/2026</c:v>
                </c:pt>
                <c:pt idx="54">
                  <c:v>7/31/2026</c:v>
                </c:pt>
                <c:pt idx="55">
                  <c:v>8/1/2026</c:v>
                </c:pt>
                <c:pt idx="56">
                  <c:v>8/2/2026</c:v>
                </c:pt>
                <c:pt idx="57">
                  <c:v>8/3/2026</c:v>
                </c:pt>
                <c:pt idx="58">
                  <c:v>8/4/2026</c:v>
                </c:pt>
                <c:pt idx="59">
                  <c:v>8/5/2026</c:v>
                </c:pt>
                <c:pt idx="60">
                  <c:v>8/6/2026</c:v>
                </c:pt>
                <c:pt idx="61">
                  <c:v>8/7/2026</c:v>
                </c:pt>
                <c:pt idx="62">
                  <c:v>8/8/2026</c:v>
                </c:pt>
                <c:pt idx="63">
                  <c:v>8/9/2026</c:v>
                </c:pt>
                <c:pt idx="64">
                  <c:v>8/10/2026</c:v>
                </c:pt>
              </c:strCache>
            </c:strRef>
          </c:cat>
          <c:val>
            <c:numRef>
              <c:f>pivot!$AK$2:$AK$67</c:f>
              <c:numCache>
                <c:formatCode>0.00%</c:formatCode>
                <c:ptCount val="65"/>
                <c:pt idx="0">
                  <c:v>0.99333333333333329</c:v>
                </c:pt>
                <c:pt idx="1">
                  <c:v>0.99333333333333329</c:v>
                </c:pt>
                <c:pt idx="2">
                  <c:v>0.99333333333333329</c:v>
                </c:pt>
                <c:pt idx="3">
                  <c:v>0.99333333333333329</c:v>
                </c:pt>
                <c:pt idx="4">
                  <c:v>0.99333333333333329</c:v>
                </c:pt>
                <c:pt idx="5">
                  <c:v>0.9932833333333333</c:v>
                </c:pt>
                <c:pt idx="6">
                  <c:v>0.99326666666666663</c:v>
                </c:pt>
                <c:pt idx="7">
                  <c:v>0.99324166666666669</c:v>
                </c:pt>
                <c:pt idx="8">
                  <c:v>0.99311666666666665</c:v>
                </c:pt>
                <c:pt idx="9">
                  <c:v>0.99278333333333335</c:v>
                </c:pt>
                <c:pt idx="10">
                  <c:v>0.99256666666666671</c:v>
                </c:pt>
                <c:pt idx="11">
                  <c:v>0.99246666666666672</c:v>
                </c:pt>
                <c:pt idx="12">
                  <c:v>0.99238333333333328</c:v>
                </c:pt>
                <c:pt idx="13">
                  <c:v>0.99226666666666663</c:v>
                </c:pt>
                <c:pt idx="14">
                  <c:v>0.9921416666666667</c:v>
                </c:pt>
                <c:pt idx="15">
                  <c:v>0.99205833333333338</c:v>
                </c:pt>
                <c:pt idx="16">
                  <c:v>0.99184166666666662</c:v>
                </c:pt>
                <c:pt idx="17">
                  <c:v>0.99157499999999998</c:v>
                </c:pt>
                <c:pt idx="18">
                  <c:v>0.99152499999999999</c:v>
                </c:pt>
                <c:pt idx="19">
                  <c:v>0.99139166666666667</c:v>
                </c:pt>
                <c:pt idx="20">
                  <c:v>0.99102500000000004</c:v>
                </c:pt>
                <c:pt idx="21">
                  <c:v>0.99090833333333328</c:v>
                </c:pt>
                <c:pt idx="22">
                  <c:v>0.99050833333333332</c:v>
                </c:pt>
                <c:pt idx="23">
                  <c:v>0.99008333333333332</c:v>
                </c:pt>
                <c:pt idx="24">
                  <c:v>0.98869166666666664</c:v>
                </c:pt>
                <c:pt idx="25">
                  <c:v>0.98869166666666664</c:v>
                </c:pt>
                <c:pt idx="26">
                  <c:v>0.98695833333333338</c:v>
                </c:pt>
                <c:pt idx="27">
                  <c:v>0.98577499999999996</c:v>
                </c:pt>
                <c:pt idx="28">
                  <c:v>0.98351666666666671</c:v>
                </c:pt>
                <c:pt idx="29">
                  <c:v>0.98282499999999995</c:v>
                </c:pt>
                <c:pt idx="30">
                  <c:v>0.98270833333333329</c:v>
                </c:pt>
                <c:pt idx="31">
                  <c:v>0.98215833333333336</c:v>
                </c:pt>
                <c:pt idx="32">
                  <c:v>0.98164166666666663</c:v>
                </c:pt>
                <c:pt idx="33">
                  <c:v>0.980325</c:v>
                </c:pt>
                <c:pt idx="34">
                  <c:v>0.97897500000000004</c:v>
                </c:pt>
                <c:pt idx="35">
                  <c:v>0.97819166666666668</c:v>
                </c:pt>
                <c:pt idx="36">
                  <c:v>0.97793333333333332</c:v>
                </c:pt>
                <c:pt idx="37">
                  <c:v>0.97430000000000005</c:v>
                </c:pt>
                <c:pt idx="38">
                  <c:v>0.96925833333333333</c:v>
                </c:pt>
                <c:pt idx="39">
                  <c:v>0.96730000000000005</c:v>
                </c:pt>
                <c:pt idx="40">
                  <c:v>0.96479166666666671</c:v>
                </c:pt>
                <c:pt idx="41">
                  <c:v>0.96265000000000001</c:v>
                </c:pt>
                <c:pt idx="42">
                  <c:v>0.95949166666666663</c:v>
                </c:pt>
                <c:pt idx="43">
                  <c:v>0.95774999999999999</c:v>
                </c:pt>
                <c:pt idx="44">
                  <c:v>0.95514166666666667</c:v>
                </c:pt>
                <c:pt idx="45">
                  <c:v>0.94940000000000002</c:v>
                </c:pt>
                <c:pt idx="46">
                  <c:v>0.94515833333333332</c:v>
                </c:pt>
                <c:pt idx="47">
                  <c:v>0.94305833333333333</c:v>
                </c:pt>
                <c:pt idx="48">
                  <c:v>0.94074999999999998</c:v>
                </c:pt>
                <c:pt idx="49">
                  <c:v>0.93664999999999998</c:v>
                </c:pt>
                <c:pt idx="50">
                  <c:v>0.93222499999999997</c:v>
                </c:pt>
                <c:pt idx="51">
                  <c:v>0.93107499999999999</c:v>
                </c:pt>
                <c:pt idx="52">
                  <c:v>0.9294</c:v>
                </c:pt>
                <c:pt idx="53">
                  <c:v>0.92838333333333334</c:v>
                </c:pt>
                <c:pt idx="54">
                  <c:v>0.92767500000000003</c:v>
                </c:pt>
                <c:pt idx="55">
                  <c:v>0.92684999999999995</c:v>
                </c:pt>
                <c:pt idx="56">
                  <c:v>0.92683333333333329</c:v>
                </c:pt>
                <c:pt idx="57">
                  <c:v>0.92654999999999998</c:v>
                </c:pt>
                <c:pt idx="58">
                  <c:v>0.92559999999999998</c:v>
                </c:pt>
                <c:pt idx="59">
                  <c:v>0.92514166666666664</c:v>
                </c:pt>
                <c:pt idx="60">
                  <c:v>0.92462500000000003</c:v>
                </c:pt>
                <c:pt idx="61">
                  <c:v>0.92407499999999998</c:v>
                </c:pt>
                <c:pt idx="62">
                  <c:v>0.92354166666666671</c:v>
                </c:pt>
                <c:pt idx="63">
                  <c:v>0.92316666666666669</c:v>
                </c:pt>
                <c:pt idx="64">
                  <c:v>0.92260833333333336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C-4740-8303-B433351B7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93839"/>
        <c:axId val="217481199"/>
      </c:lineChart>
      <c:catAx>
        <c:axId val="25959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52879"/>
        <c:crosses val="autoZero"/>
        <c:auto val="1"/>
        <c:lblAlgn val="ctr"/>
        <c:lblOffset val="100"/>
        <c:noMultiLvlLbl val="0"/>
      </c:catAx>
      <c:valAx>
        <c:axId val="21745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99183"/>
        <c:crosses val="autoZero"/>
        <c:crossBetween val="between"/>
      </c:valAx>
      <c:valAx>
        <c:axId val="21748119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93839"/>
        <c:crosses val="max"/>
        <c:crossBetween val="between"/>
      </c:valAx>
      <c:catAx>
        <c:axId val="25969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7481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308136482939633"/>
          <c:y val="5.6341863517060366E-2"/>
          <c:w val="0.66302974628171474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[Operations_KPI_Dashboard_Portfolio.xlsx]pivot!PivotTable43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pivot!$AM$1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pivot!$AL$2:$AL$67</c:f>
              <c:strCache>
                <c:ptCount val="65"/>
                <c:pt idx="0">
                  <c:v>6/7/2026</c:v>
                </c:pt>
                <c:pt idx="1">
                  <c:v>6/8/2026</c:v>
                </c:pt>
                <c:pt idx="2">
                  <c:v>6/9/2026</c:v>
                </c:pt>
                <c:pt idx="3">
                  <c:v>6/10/2026</c:v>
                </c:pt>
                <c:pt idx="4">
                  <c:v>6/11/2026</c:v>
                </c:pt>
                <c:pt idx="5">
                  <c:v>6/12/2026</c:v>
                </c:pt>
                <c:pt idx="6">
                  <c:v>6/13/2026</c:v>
                </c:pt>
                <c:pt idx="7">
                  <c:v>6/14/2026</c:v>
                </c:pt>
                <c:pt idx="8">
                  <c:v>6/15/2026</c:v>
                </c:pt>
                <c:pt idx="9">
                  <c:v>6/16/2026</c:v>
                </c:pt>
                <c:pt idx="10">
                  <c:v>6/17/2026</c:v>
                </c:pt>
                <c:pt idx="11">
                  <c:v>6/18/2026</c:v>
                </c:pt>
                <c:pt idx="12">
                  <c:v>6/19/2026</c:v>
                </c:pt>
                <c:pt idx="13">
                  <c:v>6/20/2026</c:v>
                </c:pt>
                <c:pt idx="14">
                  <c:v>6/21/2026</c:v>
                </c:pt>
                <c:pt idx="15">
                  <c:v>6/22/2026</c:v>
                </c:pt>
                <c:pt idx="16">
                  <c:v>6/23/2026</c:v>
                </c:pt>
                <c:pt idx="17">
                  <c:v>6/24/2026</c:v>
                </c:pt>
                <c:pt idx="18">
                  <c:v>6/25/2026</c:v>
                </c:pt>
                <c:pt idx="19">
                  <c:v>6/26/2026</c:v>
                </c:pt>
                <c:pt idx="20">
                  <c:v>6/27/2026</c:v>
                </c:pt>
                <c:pt idx="21">
                  <c:v>6/28/2026</c:v>
                </c:pt>
                <c:pt idx="22">
                  <c:v>6/29/2026</c:v>
                </c:pt>
                <c:pt idx="23">
                  <c:v>6/30/2026</c:v>
                </c:pt>
                <c:pt idx="24">
                  <c:v>7/1/2026</c:v>
                </c:pt>
                <c:pt idx="25">
                  <c:v>7/2/2026</c:v>
                </c:pt>
                <c:pt idx="26">
                  <c:v>7/3/2026</c:v>
                </c:pt>
                <c:pt idx="27">
                  <c:v>7/4/2026</c:v>
                </c:pt>
                <c:pt idx="28">
                  <c:v>7/5/2026</c:v>
                </c:pt>
                <c:pt idx="29">
                  <c:v>7/6/2026</c:v>
                </c:pt>
                <c:pt idx="30">
                  <c:v>7/7/2026</c:v>
                </c:pt>
                <c:pt idx="31">
                  <c:v>7/8/2026</c:v>
                </c:pt>
                <c:pt idx="32">
                  <c:v>7/9/2026</c:v>
                </c:pt>
                <c:pt idx="33">
                  <c:v>7/10/2026</c:v>
                </c:pt>
                <c:pt idx="34">
                  <c:v>7/11/2026</c:v>
                </c:pt>
                <c:pt idx="35">
                  <c:v>7/12/2026</c:v>
                </c:pt>
                <c:pt idx="36">
                  <c:v>7/13/2026</c:v>
                </c:pt>
                <c:pt idx="37">
                  <c:v>7/14/2026</c:v>
                </c:pt>
                <c:pt idx="38">
                  <c:v>7/15/2026</c:v>
                </c:pt>
                <c:pt idx="39">
                  <c:v>7/16/2026</c:v>
                </c:pt>
                <c:pt idx="40">
                  <c:v>7/17/2026</c:v>
                </c:pt>
                <c:pt idx="41">
                  <c:v>7/18/2026</c:v>
                </c:pt>
                <c:pt idx="42">
                  <c:v>7/19/2026</c:v>
                </c:pt>
                <c:pt idx="43">
                  <c:v>7/20/2026</c:v>
                </c:pt>
                <c:pt idx="44">
                  <c:v>7/21/2026</c:v>
                </c:pt>
                <c:pt idx="45">
                  <c:v>7/22/2026</c:v>
                </c:pt>
                <c:pt idx="46">
                  <c:v>7/23/2026</c:v>
                </c:pt>
                <c:pt idx="47">
                  <c:v>7/24/2026</c:v>
                </c:pt>
                <c:pt idx="48">
                  <c:v>7/25/2026</c:v>
                </c:pt>
                <c:pt idx="49">
                  <c:v>7/26/2026</c:v>
                </c:pt>
                <c:pt idx="50">
                  <c:v>7/27/2026</c:v>
                </c:pt>
                <c:pt idx="51">
                  <c:v>7/28/2026</c:v>
                </c:pt>
                <c:pt idx="52">
                  <c:v>7/29/2026</c:v>
                </c:pt>
                <c:pt idx="53">
                  <c:v>7/30/2026</c:v>
                </c:pt>
                <c:pt idx="54">
                  <c:v>7/31/2026</c:v>
                </c:pt>
                <c:pt idx="55">
                  <c:v>8/1/2026</c:v>
                </c:pt>
                <c:pt idx="56">
                  <c:v>8/2/2026</c:v>
                </c:pt>
                <c:pt idx="57">
                  <c:v>8/3/2026</c:v>
                </c:pt>
                <c:pt idx="58">
                  <c:v>8/4/2026</c:v>
                </c:pt>
                <c:pt idx="59">
                  <c:v>8/5/2026</c:v>
                </c:pt>
                <c:pt idx="60">
                  <c:v>8/6/2026</c:v>
                </c:pt>
                <c:pt idx="61">
                  <c:v>8/7/2026</c:v>
                </c:pt>
                <c:pt idx="62">
                  <c:v>8/8/2026</c:v>
                </c:pt>
                <c:pt idx="63">
                  <c:v>8/9/2026</c:v>
                </c:pt>
                <c:pt idx="64">
                  <c:v>8/10/2026</c:v>
                </c:pt>
              </c:strCache>
            </c:strRef>
          </c:cat>
          <c:val>
            <c:numRef>
              <c:f>pivot!$AM$2:$AM$67</c:f>
              <c:numCache>
                <c:formatCode>General</c:formatCode>
                <c:ptCount val="65"/>
                <c:pt idx="0">
                  <c:v>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15</c:v>
                </c:pt>
                <c:pt idx="9">
                  <c:v>40</c:v>
                </c:pt>
                <c:pt idx="10">
                  <c:v>26</c:v>
                </c:pt>
                <c:pt idx="11">
                  <c:v>12</c:v>
                </c:pt>
                <c:pt idx="12">
                  <c:v>10</c:v>
                </c:pt>
                <c:pt idx="13">
                  <c:v>14</c:v>
                </c:pt>
                <c:pt idx="14">
                  <c:v>15</c:v>
                </c:pt>
                <c:pt idx="15">
                  <c:v>10</c:v>
                </c:pt>
                <c:pt idx="16">
                  <c:v>26</c:v>
                </c:pt>
                <c:pt idx="17">
                  <c:v>32</c:v>
                </c:pt>
                <c:pt idx="18">
                  <c:v>6</c:v>
                </c:pt>
                <c:pt idx="19">
                  <c:v>16</c:v>
                </c:pt>
                <c:pt idx="20">
                  <c:v>44</c:v>
                </c:pt>
                <c:pt idx="21">
                  <c:v>14</c:v>
                </c:pt>
                <c:pt idx="22">
                  <c:v>48</c:v>
                </c:pt>
                <c:pt idx="23">
                  <c:v>51</c:v>
                </c:pt>
                <c:pt idx="24">
                  <c:v>167</c:v>
                </c:pt>
                <c:pt idx="26">
                  <c:v>208</c:v>
                </c:pt>
                <c:pt idx="27">
                  <c:v>142</c:v>
                </c:pt>
                <c:pt idx="28">
                  <c:v>271</c:v>
                </c:pt>
                <c:pt idx="29">
                  <c:v>83</c:v>
                </c:pt>
                <c:pt idx="30">
                  <c:v>14</c:v>
                </c:pt>
                <c:pt idx="31">
                  <c:v>66</c:v>
                </c:pt>
                <c:pt idx="32">
                  <c:v>62</c:v>
                </c:pt>
                <c:pt idx="33">
                  <c:v>158</c:v>
                </c:pt>
                <c:pt idx="34">
                  <c:v>162</c:v>
                </c:pt>
                <c:pt idx="35">
                  <c:v>94</c:v>
                </c:pt>
                <c:pt idx="36">
                  <c:v>31</c:v>
                </c:pt>
                <c:pt idx="37">
                  <c:v>436</c:v>
                </c:pt>
                <c:pt idx="38">
                  <c:v>605</c:v>
                </c:pt>
                <c:pt idx="39">
                  <c:v>235</c:v>
                </c:pt>
                <c:pt idx="40">
                  <c:v>301</c:v>
                </c:pt>
                <c:pt idx="41">
                  <c:v>257</c:v>
                </c:pt>
                <c:pt idx="42">
                  <c:v>379</c:v>
                </c:pt>
                <c:pt idx="43">
                  <c:v>209</c:v>
                </c:pt>
                <c:pt idx="44">
                  <c:v>313</c:v>
                </c:pt>
                <c:pt idx="45">
                  <c:v>689</c:v>
                </c:pt>
                <c:pt idx="46">
                  <c:v>509</c:v>
                </c:pt>
                <c:pt idx="47">
                  <c:v>252</c:v>
                </c:pt>
                <c:pt idx="48">
                  <c:v>277</c:v>
                </c:pt>
                <c:pt idx="49">
                  <c:v>492</c:v>
                </c:pt>
                <c:pt idx="50">
                  <c:v>531</c:v>
                </c:pt>
                <c:pt idx="51">
                  <c:v>138</c:v>
                </c:pt>
                <c:pt idx="52">
                  <c:v>201</c:v>
                </c:pt>
                <c:pt idx="53">
                  <c:v>122</c:v>
                </c:pt>
                <c:pt idx="54">
                  <c:v>85</c:v>
                </c:pt>
                <c:pt idx="55">
                  <c:v>99</c:v>
                </c:pt>
                <c:pt idx="56">
                  <c:v>2</c:v>
                </c:pt>
                <c:pt idx="57">
                  <c:v>34</c:v>
                </c:pt>
                <c:pt idx="58">
                  <c:v>114</c:v>
                </c:pt>
                <c:pt idx="59">
                  <c:v>55</c:v>
                </c:pt>
                <c:pt idx="60">
                  <c:v>62</c:v>
                </c:pt>
                <c:pt idx="61">
                  <c:v>66</c:v>
                </c:pt>
                <c:pt idx="62">
                  <c:v>64</c:v>
                </c:pt>
                <c:pt idx="63">
                  <c:v>45</c:v>
                </c:pt>
                <c:pt idx="6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6-437B-9188-B6144FD4C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98703"/>
        <c:axId val="217460559"/>
      </c:barChart>
      <c:catAx>
        <c:axId val="13219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60559"/>
        <c:crosses val="autoZero"/>
        <c:auto val="1"/>
        <c:lblAlgn val="ctr"/>
        <c:lblOffset val="100"/>
        <c:noMultiLvlLbl val="0"/>
      </c:catAx>
      <c:valAx>
        <c:axId val="2174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[Operations_KPI_Dashboard_Portfolio.xlsx]pivot!PivotTable44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BODY WEIGHT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pivot!$AO$1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pivot!$AN$2:$AN$67</c:f>
              <c:strCache>
                <c:ptCount val="65"/>
                <c:pt idx="0">
                  <c:v>6/7/2026</c:v>
                </c:pt>
                <c:pt idx="1">
                  <c:v>6/8/2026</c:v>
                </c:pt>
                <c:pt idx="2">
                  <c:v>6/9/2026</c:v>
                </c:pt>
                <c:pt idx="3">
                  <c:v>6/10/2026</c:v>
                </c:pt>
                <c:pt idx="4">
                  <c:v>6/11/2026</c:v>
                </c:pt>
                <c:pt idx="5">
                  <c:v>6/12/2026</c:v>
                </c:pt>
                <c:pt idx="6">
                  <c:v>6/13/2026</c:v>
                </c:pt>
                <c:pt idx="7">
                  <c:v>6/14/2026</c:v>
                </c:pt>
                <c:pt idx="8">
                  <c:v>6/15/2026</c:v>
                </c:pt>
                <c:pt idx="9">
                  <c:v>6/16/2026</c:v>
                </c:pt>
                <c:pt idx="10">
                  <c:v>6/17/2026</c:v>
                </c:pt>
                <c:pt idx="11">
                  <c:v>6/18/2026</c:v>
                </c:pt>
                <c:pt idx="12">
                  <c:v>6/19/2026</c:v>
                </c:pt>
                <c:pt idx="13">
                  <c:v>6/20/2026</c:v>
                </c:pt>
                <c:pt idx="14">
                  <c:v>6/21/2026</c:v>
                </c:pt>
                <c:pt idx="15">
                  <c:v>6/22/2026</c:v>
                </c:pt>
                <c:pt idx="16">
                  <c:v>6/23/2026</c:v>
                </c:pt>
                <c:pt idx="17">
                  <c:v>6/24/2026</c:v>
                </c:pt>
                <c:pt idx="18">
                  <c:v>6/25/2026</c:v>
                </c:pt>
                <c:pt idx="19">
                  <c:v>6/26/2026</c:v>
                </c:pt>
                <c:pt idx="20">
                  <c:v>6/27/2026</c:v>
                </c:pt>
                <c:pt idx="21">
                  <c:v>6/28/2026</c:v>
                </c:pt>
                <c:pt idx="22">
                  <c:v>6/29/2026</c:v>
                </c:pt>
                <c:pt idx="23">
                  <c:v>6/30/2026</c:v>
                </c:pt>
                <c:pt idx="24">
                  <c:v>7/1/2026</c:v>
                </c:pt>
                <c:pt idx="25">
                  <c:v>7/2/2026</c:v>
                </c:pt>
                <c:pt idx="26">
                  <c:v>7/3/2026</c:v>
                </c:pt>
                <c:pt idx="27">
                  <c:v>7/4/2026</c:v>
                </c:pt>
                <c:pt idx="28">
                  <c:v>7/5/2026</c:v>
                </c:pt>
                <c:pt idx="29">
                  <c:v>7/6/2026</c:v>
                </c:pt>
                <c:pt idx="30">
                  <c:v>7/7/2026</c:v>
                </c:pt>
                <c:pt idx="31">
                  <c:v>7/8/2026</c:v>
                </c:pt>
                <c:pt idx="32">
                  <c:v>7/9/2026</c:v>
                </c:pt>
                <c:pt idx="33">
                  <c:v>7/10/2026</c:v>
                </c:pt>
                <c:pt idx="34">
                  <c:v>7/11/2026</c:v>
                </c:pt>
                <c:pt idx="35">
                  <c:v>7/12/2026</c:v>
                </c:pt>
                <c:pt idx="36">
                  <c:v>7/13/2026</c:v>
                </c:pt>
                <c:pt idx="37">
                  <c:v>7/14/2026</c:v>
                </c:pt>
                <c:pt idx="38">
                  <c:v>7/15/2026</c:v>
                </c:pt>
                <c:pt idx="39">
                  <c:v>7/16/2026</c:v>
                </c:pt>
                <c:pt idx="40">
                  <c:v>7/17/2026</c:v>
                </c:pt>
                <c:pt idx="41">
                  <c:v>7/18/2026</c:v>
                </c:pt>
                <c:pt idx="42">
                  <c:v>7/19/2026</c:v>
                </c:pt>
                <c:pt idx="43">
                  <c:v>7/20/2026</c:v>
                </c:pt>
                <c:pt idx="44">
                  <c:v>7/21/2026</c:v>
                </c:pt>
                <c:pt idx="45">
                  <c:v>7/22/2026</c:v>
                </c:pt>
                <c:pt idx="46">
                  <c:v>7/23/2026</c:v>
                </c:pt>
                <c:pt idx="47">
                  <c:v>7/24/2026</c:v>
                </c:pt>
                <c:pt idx="48">
                  <c:v>7/25/2026</c:v>
                </c:pt>
                <c:pt idx="49">
                  <c:v>7/26/2026</c:v>
                </c:pt>
                <c:pt idx="50">
                  <c:v>7/27/2026</c:v>
                </c:pt>
                <c:pt idx="51">
                  <c:v>7/28/2026</c:v>
                </c:pt>
                <c:pt idx="52">
                  <c:v>7/29/2026</c:v>
                </c:pt>
                <c:pt idx="53">
                  <c:v>7/30/2026</c:v>
                </c:pt>
                <c:pt idx="54">
                  <c:v>7/31/2026</c:v>
                </c:pt>
                <c:pt idx="55">
                  <c:v>8/1/2026</c:v>
                </c:pt>
                <c:pt idx="56">
                  <c:v>8/2/2026</c:v>
                </c:pt>
                <c:pt idx="57">
                  <c:v>8/3/2026</c:v>
                </c:pt>
                <c:pt idx="58">
                  <c:v>8/4/2026</c:v>
                </c:pt>
                <c:pt idx="59">
                  <c:v>8/5/2026</c:v>
                </c:pt>
                <c:pt idx="60">
                  <c:v>8/6/2026</c:v>
                </c:pt>
                <c:pt idx="61">
                  <c:v>8/7/2026</c:v>
                </c:pt>
                <c:pt idx="62">
                  <c:v>8/8/2026</c:v>
                </c:pt>
                <c:pt idx="63">
                  <c:v>8/9/2026</c:v>
                </c:pt>
                <c:pt idx="64">
                  <c:v>8/10/2026</c:v>
                </c:pt>
              </c:strCache>
            </c:strRef>
          </c:cat>
          <c:val>
            <c:numRef>
              <c:f>pivot!$AO$2:$AO$67</c:f>
              <c:numCache>
                <c:formatCode>General</c:formatCode>
                <c:ptCount val="65"/>
                <c:pt idx="1">
                  <c:v>5.0999999999999996</c:v>
                </c:pt>
                <c:pt idx="9">
                  <c:v>10.3</c:v>
                </c:pt>
                <c:pt idx="19">
                  <c:v>16.8</c:v>
                </c:pt>
                <c:pt idx="29">
                  <c:v>23.8</c:v>
                </c:pt>
                <c:pt idx="55">
                  <c:v>51.4</c:v>
                </c:pt>
                <c:pt idx="56">
                  <c:v>52.46153846153846</c:v>
                </c:pt>
                <c:pt idx="57">
                  <c:v>53.523076923076921</c:v>
                </c:pt>
                <c:pt idx="64">
                  <c:v>57.89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5-49E7-9DE8-A06B3B92B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761583"/>
        <c:axId val="747551376"/>
      </c:lineChart>
      <c:catAx>
        <c:axId val="25976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51376"/>
        <c:crosses val="autoZero"/>
        <c:auto val="1"/>
        <c:lblAlgn val="ctr"/>
        <c:lblOffset val="100"/>
        <c:noMultiLvlLbl val="0"/>
      </c:catAx>
      <c:valAx>
        <c:axId val="7475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6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[Operations_KPI_Dashboard_Portfolio.xlsx]pivot!PivotTable45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OF FEED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pivot!$AQ$1</c:f>
              <c:strCache>
                <c:ptCount val="1"/>
                <c:pt idx="0">
                  <c:v>Sum of GC#1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pivot!$AP$2:$AP$3</c:f>
              <c:strCache>
                <c:ptCount val="1"/>
                <c:pt idx="0">
                  <c:v>GC</c:v>
                </c:pt>
              </c:strCache>
            </c:strRef>
          </c:cat>
          <c:val>
            <c:numRef>
              <c:f>pivot!$AQ$2:$AQ$3</c:f>
              <c:numCache>
                <c:formatCode>General</c:formatCode>
                <c:ptCount val="1"/>
                <c:pt idx="0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3-4800-AFD2-90C1A1B2158E}"/>
            </c:ext>
          </c:extLst>
        </c:ser>
        <c:ser>
          <c:idx val="1"/>
          <c:order val="1"/>
          <c:tx>
            <c:strRef>
              <c:f>pivot!$AR$1</c:f>
              <c:strCache>
                <c:ptCount val="1"/>
                <c:pt idx="0">
                  <c:v>Sum of GC#2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pivot!$AP$2:$AP$3</c:f>
              <c:strCache>
                <c:ptCount val="1"/>
                <c:pt idx="0">
                  <c:v>GC</c:v>
                </c:pt>
              </c:strCache>
            </c:strRef>
          </c:cat>
          <c:val>
            <c:numRef>
              <c:f>pivot!$AR$2:$AR$3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B063-4800-AFD2-90C1A1B2158E}"/>
            </c:ext>
          </c:extLst>
        </c:ser>
        <c:ser>
          <c:idx val="2"/>
          <c:order val="2"/>
          <c:tx>
            <c:strRef>
              <c:f>pivot!$AS$1</c:f>
              <c:strCache>
                <c:ptCount val="1"/>
                <c:pt idx="0">
                  <c:v>Sum of feed/bag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pivot!$AP$2:$AP$3</c:f>
              <c:strCache>
                <c:ptCount val="1"/>
                <c:pt idx="0">
                  <c:v>GC</c:v>
                </c:pt>
              </c:strCache>
            </c:strRef>
          </c:cat>
          <c:val>
            <c:numRef>
              <c:f>pivot!$AS$2:$AS$3</c:f>
              <c:numCache>
                <c:formatCode>General</c:formatCode>
                <c:ptCount val="1"/>
                <c:pt idx="0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63-4800-AFD2-90C1A1B21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429152"/>
        <c:axId val="747531216"/>
      </c:barChart>
      <c:catAx>
        <c:axId val="20344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31216"/>
        <c:crosses val="autoZero"/>
        <c:auto val="1"/>
        <c:lblAlgn val="ctr"/>
        <c:lblOffset val="100"/>
        <c:noMultiLvlLbl val="0"/>
      </c:catAx>
      <c:valAx>
        <c:axId val="7475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[Operations_KPI_Dashboard_Portfolio.xlsx]pivot!PivotTable46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SUPPLEMENT(g)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pivot!$AU$1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BE-4B98-BB99-65CB190D71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BE-4B98-BB99-65CB190D71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BE-4B98-BB99-65CB190D71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1B-4B1F-A810-28919899AA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1B-4B1F-A810-28919899AA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pivot!$AT$2:$AT$7</c:f>
              <c:strCache>
                <c:ptCount val="5"/>
                <c:pt idx="0">
                  <c:v>Garlic Powder</c:v>
                </c:pt>
                <c:pt idx="1">
                  <c:v>Liver Guard</c:v>
                </c:pt>
                <c:pt idx="2">
                  <c:v>Enrofloxacin</c:v>
                </c:pt>
                <c:pt idx="3">
                  <c:v>Florfenicol</c:v>
                </c:pt>
                <c:pt idx="4">
                  <c:v>3pek Glukosa (3包葡萄糖)</c:v>
                </c:pt>
              </c:strCache>
            </c:strRef>
          </c:cat>
          <c:val>
            <c:numRef>
              <c:f>pivot!$AU$2:$AU$7</c:f>
              <c:numCache>
                <c:formatCode>General</c:formatCode>
                <c:ptCount val="5"/>
                <c:pt idx="0">
                  <c:v>1200</c:v>
                </c:pt>
                <c:pt idx="1">
                  <c:v>1000</c:v>
                </c:pt>
                <c:pt idx="2">
                  <c:v>1350</c:v>
                </c:pt>
                <c:pt idx="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BE-4B98-BB99-65CB190D71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103324</xdr:colOff>
      <xdr:row>1</xdr:row>
      <xdr:rowOff>51660</xdr:rowOff>
    </xdr:from>
    <xdr:to>
      <xdr:col>25</xdr:col>
      <xdr:colOff>568271</xdr:colOff>
      <xdr:row>57</xdr:row>
      <xdr:rowOff>91440</xdr:rowOff>
    </xdr:to>
    <xdr:sp macro="" textlink="">
      <xdr:nvSpPr>
        <xdr:cNvPr id="143" name="Rectangle: Rounded Corners 117">
          <a:extLst>
            <a:ext uri="{FF2B5EF4-FFF2-40B4-BE49-F238E27FC236}">
              <a16:creationId xmlns:a16="http://schemas.microsoft.com/office/drawing/2014/main" id="{3739A586-D484-7067-3233-4558E16151FF}"/>
            </a:ext>
          </a:extLst>
        </xdr:cNvPr>
        <xdr:cNvSpPr/>
      </xdr:nvSpPr>
      <xdr:spPr>
        <a:xfrm>
          <a:off x="712924" y="234540"/>
          <a:ext cx="15095347" cy="1028106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215900</xdr:colOff>
      <xdr:row>2</xdr:row>
      <xdr:rowOff>81326</xdr:rowOff>
    </xdr:from>
    <xdr:to>
      <xdr:col>23</xdr:col>
      <xdr:colOff>230538</xdr:colOff>
      <xdr:row>5</xdr:row>
      <xdr:rowOff>176374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CFBE293-B353-BC61-BD4E-FFDD50EB1427}"/>
            </a:ext>
          </a:extLst>
        </xdr:cNvPr>
        <xdr:cNvSpPr/>
      </xdr:nvSpPr>
      <xdr:spPr>
        <a:xfrm>
          <a:off x="2044700" y="436926"/>
          <a:ext cx="12206638" cy="6284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/>
            <a:t>Operations</a:t>
          </a:r>
          <a:r>
            <a:rPr lang="en-US" sz="3200" baseline="0"/>
            <a:t> </a:t>
          </a:r>
          <a:r>
            <a:rPr lang="en-US" sz="3200"/>
            <a:t>KPI</a:t>
          </a:r>
          <a:r>
            <a:rPr lang="en-US" sz="3200" baseline="0"/>
            <a:t> </a:t>
          </a:r>
          <a:r>
            <a:rPr lang="en-US" sz="3200"/>
            <a:t>Dashboard_Portfolio</a:t>
          </a:r>
          <a:r>
            <a:rPr lang="en-US" sz="3200" baseline="0"/>
            <a:t>- CAGE 2</a:t>
          </a:r>
          <a:endParaRPr lang="en-US" sz="3200"/>
        </a:p>
      </xdr:txBody>
    </xdr:sp>
    <xdr:clientData/>
  </xdr:twoCellAnchor>
  <xdr:twoCellAnchor>
    <xdr:from>
      <xdr:col>6</xdr:col>
      <xdr:colOff>25832</xdr:colOff>
      <xdr:row>7</xdr:row>
      <xdr:rowOff>12915</xdr:rowOff>
    </xdr:from>
    <xdr:to>
      <xdr:col>15</xdr:col>
      <xdr:colOff>49080</xdr:colOff>
      <xdr:row>22</xdr:row>
      <xdr:rowOff>43912</xdr:rowOff>
    </xdr:to>
    <xdr:graphicFrame macro="">
      <xdr:nvGraphicFramePr>
        <xdr:cNvPr id="133" name="Chart 132">
          <a:extLst>
            <a:ext uri="{FF2B5EF4-FFF2-40B4-BE49-F238E27FC236}">
              <a16:creationId xmlns:a16="http://schemas.microsoft.com/office/drawing/2014/main" id="{5AD7E78D-2B5A-4D27-AF5B-4D8317BFE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581189</xdr:colOff>
      <xdr:row>6</xdr:row>
      <xdr:rowOff>167898</xdr:rowOff>
    </xdr:from>
    <xdr:to>
      <xdr:col>24</xdr:col>
      <xdr:colOff>604436</xdr:colOff>
      <xdr:row>22</xdr:row>
      <xdr:rowOff>18081</xdr:rowOff>
    </xdr:to>
    <xdr:graphicFrame macro="">
      <xdr:nvGraphicFramePr>
        <xdr:cNvPr id="134" name="Chart 133">
          <a:extLst>
            <a:ext uri="{FF2B5EF4-FFF2-40B4-BE49-F238E27FC236}">
              <a16:creationId xmlns:a16="http://schemas.microsoft.com/office/drawing/2014/main" id="{AADAC0C5-DE6E-4C40-976F-7F24F1B2F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38103</xdr:colOff>
      <xdr:row>23</xdr:row>
      <xdr:rowOff>5974</xdr:rowOff>
    </xdr:from>
    <xdr:to>
      <xdr:col>15</xdr:col>
      <xdr:colOff>61351</xdr:colOff>
      <xdr:row>38</xdr:row>
      <xdr:rowOff>46657</xdr:rowOff>
    </xdr:to>
    <xdr:graphicFrame macro="">
      <xdr:nvGraphicFramePr>
        <xdr:cNvPr id="146" name="Chart 134">
          <a:extLst>
            <a:ext uri="{FF2B5EF4-FFF2-40B4-BE49-F238E27FC236}">
              <a16:creationId xmlns:a16="http://schemas.microsoft.com/office/drawing/2014/main" id="{759F6CF6-6DC9-469A-8380-E2C2A8E4BBE1}"/>
            </a:ext>
            <a:ext uri="{147F2762-F138-4A5C-976F-8EAC2B608ADB}">
              <a16:predDERef xmlns:a16="http://schemas.microsoft.com/office/drawing/2014/main" pred="{AADAC0C5-DE6E-4C40-976F-7F24F1B2F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581187</xdr:colOff>
      <xdr:row>22</xdr:row>
      <xdr:rowOff>167898</xdr:rowOff>
    </xdr:from>
    <xdr:to>
      <xdr:col>24</xdr:col>
      <xdr:colOff>604434</xdr:colOff>
      <xdr:row>38</xdr:row>
      <xdr:rowOff>18081</xdr:rowOff>
    </xdr:to>
    <xdr:graphicFrame macro="">
      <xdr:nvGraphicFramePr>
        <xdr:cNvPr id="141" name="Chart 135">
          <a:extLst>
            <a:ext uri="{FF2B5EF4-FFF2-40B4-BE49-F238E27FC236}">
              <a16:creationId xmlns:a16="http://schemas.microsoft.com/office/drawing/2014/main" id="{AD95B008-D236-4AD5-9397-FA15A040AFA4}"/>
            </a:ext>
            <a:ext uri="{147F2762-F138-4A5C-976F-8EAC2B608ADB}">
              <a16:predDERef xmlns:a16="http://schemas.microsoft.com/office/drawing/2014/main" pred="{759F6CF6-6DC9-469A-8380-E2C2A8E4B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594103</xdr:colOff>
      <xdr:row>39</xdr:row>
      <xdr:rowOff>12915</xdr:rowOff>
    </xdr:from>
    <xdr:to>
      <xdr:col>15</xdr:col>
      <xdr:colOff>10334</xdr:colOff>
      <xdr:row>52</xdr:row>
      <xdr:rowOff>38746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A86F1F91-A072-4B89-9DB2-B2F25FBFC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581189</xdr:colOff>
      <xdr:row>39</xdr:row>
      <xdr:rowOff>-1</xdr:rowOff>
    </xdr:from>
    <xdr:to>
      <xdr:col>24</xdr:col>
      <xdr:colOff>604436</xdr:colOff>
      <xdr:row>52</xdr:row>
      <xdr:rowOff>167898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31D6EE1A-E8AC-4C28-8461-AAC2E0E84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19829</xdr:colOff>
      <xdr:row>7</xdr:row>
      <xdr:rowOff>107307</xdr:rowOff>
    </xdr:from>
    <xdr:to>
      <xdr:col>5</xdr:col>
      <xdr:colOff>393338</xdr:colOff>
      <xdr:row>12</xdr:row>
      <xdr:rowOff>60960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178A7A5-BED6-7861-3ED0-80C1679F8E94}"/>
            </a:ext>
          </a:extLst>
        </xdr:cNvPr>
        <xdr:cNvGrpSpPr/>
      </xdr:nvGrpSpPr>
      <xdr:grpSpPr>
        <a:xfrm>
          <a:off x="1239029" y="1351907"/>
          <a:ext cx="2202309" cy="842653"/>
          <a:chOff x="17896349" y="2713347"/>
          <a:chExt cx="2202309" cy="868053"/>
        </a:xfrm>
      </xdr:grpSpPr>
      <xdr:sp macro="" textlink="pivot!Z2">
        <xdr:nvSpPr>
          <xdr:cNvPr id="121" name="Rectangle 120">
            <a:extLst>
              <a:ext uri="{FF2B5EF4-FFF2-40B4-BE49-F238E27FC236}">
                <a16:creationId xmlns:a16="http://schemas.microsoft.com/office/drawing/2014/main" id="{94DEAE32-CB9A-41E3-C3B9-01B049415797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14F7992-859C-451D-925A-C6F58132B4FA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10-Aug-26</a:t>
            </a:fld>
            <a:endParaRPr lang="en-US" sz="40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2" name="Rectangle 1">
            <a:extLst>
              <a:ext uri="{FF2B5EF4-FFF2-40B4-BE49-F238E27FC236}">
                <a16:creationId xmlns:a16="http://schemas.microsoft.com/office/drawing/2014/main" id="{8D925632-6B40-467E-BD8E-1096722F1786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Last Update</a:t>
            </a:r>
          </a:p>
        </xdr:txBody>
      </xdr:sp>
    </xdr:grpSp>
    <xdr:clientData/>
  </xdr:twoCellAnchor>
  <xdr:twoCellAnchor>
    <xdr:from>
      <xdr:col>2</xdr:col>
      <xdr:colOff>19829</xdr:colOff>
      <xdr:row>12</xdr:row>
      <xdr:rowOff>137787</xdr:rowOff>
    </xdr:from>
    <xdr:to>
      <xdr:col>5</xdr:col>
      <xdr:colOff>393338</xdr:colOff>
      <xdr:row>17</xdr:row>
      <xdr:rowOff>91440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1B6E205-A1C8-4C20-8C96-33C60554ECD5}"/>
            </a:ext>
          </a:extLst>
        </xdr:cNvPr>
        <xdr:cNvGrpSpPr/>
      </xdr:nvGrpSpPr>
      <xdr:grpSpPr>
        <a:xfrm>
          <a:off x="1239029" y="2271387"/>
          <a:ext cx="2202309" cy="842653"/>
          <a:chOff x="17896349" y="2713347"/>
          <a:chExt cx="2202309" cy="868053"/>
        </a:xfrm>
      </xdr:grpSpPr>
      <xdr:sp macro="" textlink="pivot!Z3">
        <xdr:nvSpPr>
          <xdr:cNvPr id="5" name="Rectangle 4">
            <a:extLst>
              <a:ext uri="{FF2B5EF4-FFF2-40B4-BE49-F238E27FC236}">
                <a16:creationId xmlns:a16="http://schemas.microsoft.com/office/drawing/2014/main" id="{79CF00CC-B604-9D7F-0DA8-AA4D3282227C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CCFDAFF-B81B-42CB-90F0-B9F5FF7AE0EF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97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6" name="Rectangle 5">
            <a:extLst>
              <a:ext uri="{FF2B5EF4-FFF2-40B4-BE49-F238E27FC236}">
                <a16:creationId xmlns:a16="http://schemas.microsoft.com/office/drawing/2014/main" id="{88F798B8-0994-41A8-54F6-760B04621AEA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Days of Culture</a:t>
            </a:r>
          </a:p>
        </xdr:txBody>
      </xdr:sp>
    </xdr:grpSp>
    <xdr:clientData/>
  </xdr:twoCellAnchor>
  <xdr:twoCellAnchor>
    <xdr:from>
      <xdr:col>2</xdr:col>
      <xdr:colOff>15240</xdr:colOff>
      <xdr:row>17</xdr:row>
      <xdr:rowOff>167640</xdr:rowOff>
    </xdr:from>
    <xdr:to>
      <xdr:col>5</xdr:col>
      <xdr:colOff>388749</xdr:colOff>
      <xdr:row>24</xdr:row>
      <xdr:rowOff>90813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19E5E29-AE74-47D8-AA78-0B14085E6351}"/>
            </a:ext>
          </a:extLst>
        </xdr:cNvPr>
        <xdr:cNvGrpSpPr/>
      </xdr:nvGrpSpPr>
      <xdr:grpSpPr>
        <a:xfrm>
          <a:off x="1234440" y="3190240"/>
          <a:ext cx="2202309" cy="1167773"/>
          <a:chOff x="17896349" y="2378067"/>
          <a:chExt cx="2202309" cy="1203333"/>
        </a:xfrm>
      </xdr:grpSpPr>
      <xdr:sp macro="" textlink="pivot!A4">
        <xdr:nvSpPr>
          <xdr:cNvPr id="9" name="Rectangle 8">
            <a:extLst>
              <a:ext uri="{FF2B5EF4-FFF2-40B4-BE49-F238E27FC236}">
                <a16:creationId xmlns:a16="http://schemas.microsoft.com/office/drawing/2014/main" id="{6F0AB164-5714-3A74-1C43-464EAFADA26A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37C0A458-F040-48F5-822C-EA8CD9978423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176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10" name="Rectangle 9">
            <a:extLst>
              <a:ext uri="{FF2B5EF4-FFF2-40B4-BE49-F238E27FC236}">
                <a16:creationId xmlns:a16="http://schemas.microsoft.com/office/drawing/2014/main" id="{351B1A28-FC81-DF80-85E6-326044D479C8}"/>
              </a:ext>
            </a:extLst>
          </xdr:cNvPr>
          <xdr:cNvSpPr/>
        </xdr:nvSpPr>
        <xdr:spPr>
          <a:xfrm>
            <a:off x="17896349" y="2378067"/>
            <a:ext cx="2202309" cy="76137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Average Body Weight (g)</a:t>
            </a:r>
          </a:p>
        </xdr:txBody>
      </xdr:sp>
    </xdr:grpSp>
    <xdr:clientData/>
  </xdr:twoCellAnchor>
  <xdr:twoCellAnchor>
    <xdr:from>
      <xdr:col>2</xdr:col>
      <xdr:colOff>30480</xdr:colOff>
      <xdr:row>25</xdr:row>
      <xdr:rowOff>0</xdr:rowOff>
    </xdr:from>
    <xdr:to>
      <xdr:col>5</xdr:col>
      <xdr:colOff>403989</xdr:colOff>
      <xdr:row>29</xdr:row>
      <xdr:rowOff>136533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B5F030C-2A94-4E77-B18C-7B298751B74F}"/>
            </a:ext>
          </a:extLst>
        </xdr:cNvPr>
        <xdr:cNvGrpSpPr/>
      </xdr:nvGrpSpPr>
      <xdr:grpSpPr>
        <a:xfrm>
          <a:off x="1249680" y="4445000"/>
          <a:ext cx="2202309" cy="847733"/>
          <a:chOff x="17896349" y="2713347"/>
          <a:chExt cx="2202309" cy="868053"/>
        </a:xfrm>
      </xdr:grpSpPr>
      <xdr:sp macro="" textlink="pivot!D4">
        <xdr:nvSpPr>
          <xdr:cNvPr id="13" name="Rectangle 12">
            <a:extLst>
              <a:ext uri="{FF2B5EF4-FFF2-40B4-BE49-F238E27FC236}">
                <a16:creationId xmlns:a16="http://schemas.microsoft.com/office/drawing/2014/main" id="{92AF6A2F-721F-FFA5-3C6A-D402E9E2966C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6613E86-544D-410A-8BEF-E5BE88119D7C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19930.94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14" name="Rectangle 13">
            <a:extLst>
              <a:ext uri="{FF2B5EF4-FFF2-40B4-BE49-F238E27FC236}">
                <a16:creationId xmlns:a16="http://schemas.microsoft.com/office/drawing/2014/main" id="{AE2F0372-F1E3-A187-E72F-ADFE87FF98CB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Biomass (kg)</a:t>
            </a:r>
          </a:p>
        </xdr:txBody>
      </xdr:sp>
    </xdr:grpSp>
    <xdr:clientData/>
  </xdr:twoCellAnchor>
  <xdr:twoCellAnchor>
    <xdr:from>
      <xdr:col>2</xdr:col>
      <xdr:colOff>30480</xdr:colOff>
      <xdr:row>30</xdr:row>
      <xdr:rowOff>45720</xdr:rowOff>
    </xdr:from>
    <xdr:to>
      <xdr:col>5</xdr:col>
      <xdr:colOff>403989</xdr:colOff>
      <xdr:row>34</xdr:row>
      <xdr:rowOff>182253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2FC5382-66C9-4F93-8AF8-5DD1ECBDBC73}"/>
            </a:ext>
          </a:extLst>
        </xdr:cNvPr>
        <xdr:cNvGrpSpPr/>
      </xdr:nvGrpSpPr>
      <xdr:grpSpPr>
        <a:xfrm>
          <a:off x="1249680" y="5379720"/>
          <a:ext cx="2202309" cy="847733"/>
          <a:chOff x="17896349" y="2713347"/>
          <a:chExt cx="2202309" cy="868053"/>
        </a:xfrm>
      </xdr:grpSpPr>
      <xdr:sp macro="" textlink="pivot!B4">
        <xdr:nvSpPr>
          <xdr:cNvPr id="16" name="Rectangle 15">
            <a:extLst>
              <a:ext uri="{FF2B5EF4-FFF2-40B4-BE49-F238E27FC236}">
                <a16:creationId xmlns:a16="http://schemas.microsoft.com/office/drawing/2014/main" id="{30351301-B1AE-801C-F26C-0EDF534767F3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6A2BCCF-C834-42A2-ABA9-7967DEA918F9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113244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17" name="Rectangle 16">
            <a:extLst>
              <a:ext uri="{FF2B5EF4-FFF2-40B4-BE49-F238E27FC236}">
                <a16:creationId xmlns:a16="http://schemas.microsoft.com/office/drawing/2014/main" id="{D791D565-E3AB-D8F7-7FAF-792FA350B470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No. of Population</a:t>
            </a:r>
          </a:p>
        </xdr:txBody>
      </xdr:sp>
    </xdr:grpSp>
    <xdr:clientData/>
  </xdr:twoCellAnchor>
  <xdr:twoCellAnchor>
    <xdr:from>
      <xdr:col>2</xdr:col>
      <xdr:colOff>15240</xdr:colOff>
      <xdr:row>35</xdr:row>
      <xdr:rowOff>91440</xdr:rowOff>
    </xdr:from>
    <xdr:to>
      <xdr:col>5</xdr:col>
      <xdr:colOff>388749</xdr:colOff>
      <xdr:row>40</xdr:row>
      <xdr:rowOff>45093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130A1F4-611D-49CF-8168-CBEA35916A2F}"/>
            </a:ext>
          </a:extLst>
        </xdr:cNvPr>
        <xdr:cNvGrpSpPr/>
      </xdr:nvGrpSpPr>
      <xdr:grpSpPr>
        <a:xfrm>
          <a:off x="1234440" y="6314440"/>
          <a:ext cx="2202309" cy="842653"/>
          <a:chOff x="17896349" y="2713347"/>
          <a:chExt cx="2202309" cy="868053"/>
        </a:xfrm>
      </xdr:grpSpPr>
      <xdr:sp macro="" textlink="pivot!C4">
        <xdr:nvSpPr>
          <xdr:cNvPr id="19" name="Rectangle 18">
            <a:extLst>
              <a:ext uri="{FF2B5EF4-FFF2-40B4-BE49-F238E27FC236}">
                <a16:creationId xmlns:a16="http://schemas.microsoft.com/office/drawing/2014/main" id="{1464082D-CCF4-08BD-AA84-93EE36D87099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F4CE97E-08B6-417A-80E6-C66175CABDFB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94.37%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20" name="Rectangle 19">
            <a:extLst>
              <a:ext uri="{FF2B5EF4-FFF2-40B4-BE49-F238E27FC236}">
                <a16:creationId xmlns:a16="http://schemas.microsoft.com/office/drawing/2014/main" id="{2763DEC2-4C7B-89CA-BD37-6DEABB15B354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Survival Rate</a:t>
            </a:r>
          </a:p>
        </xdr:txBody>
      </xdr:sp>
    </xdr:grpSp>
    <xdr:clientData/>
  </xdr:twoCellAnchor>
  <xdr:twoCellAnchor>
    <xdr:from>
      <xdr:col>2</xdr:col>
      <xdr:colOff>0</xdr:colOff>
      <xdr:row>40</xdr:row>
      <xdr:rowOff>101601</xdr:rowOff>
    </xdr:from>
    <xdr:to>
      <xdr:col>5</xdr:col>
      <xdr:colOff>373509</xdr:colOff>
      <xdr:row>47</xdr:row>
      <xdr:rowOff>14614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F6AD47D-A47A-44F0-8E2C-70DA891095A7}"/>
            </a:ext>
          </a:extLst>
        </xdr:cNvPr>
        <xdr:cNvGrpSpPr/>
      </xdr:nvGrpSpPr>
      <xdr:grpSpPr>
        <a:xfrm>
          <a:off x="1219200" y="7213601"/>
          <a:ext cx="2202309" cy="1157613"/>
          <a:chOff x="17896349" y="2387592"/>
          <a:chExt cx="2202309" cy="1193808"/>
        </a:xfrm>
      </xdr:grpSpPr>
      <xdr:sp macro="" textlink="pivot!E4">
        <xdr:nvSpPr>
          <xdr:cNvPr id="22" name="Rectangle 21">
            <a:extLst>
              <a:ext uri="{FF2B5EF4-FFF2-40B4-BE49-F238E27FC236}">
                <a16:creationId xmlns:a16="http://schemas.microsoft.com/office/drawing/2014/main" id="{330764C7-3863-6B8E-C534-B6089E5BC5BB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F7391B0-5A93-4BD9-8651-6AA0A70DA53F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17940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23" name="Rectangle 22">
            <a:extLst>
              <a:ext uri="{FF2B5EF4-FFF2-40B4-BE49-F238E27FC236}">
                <a16:creationId xmlns:a16="http://schemas.microsoft.com/office/drawing/2014/main" id="{47C4F450-2D0F-8B86-D3A8-AB12B54025C5}"/>
              </a:ext>
            </a:extLst>
          </xdr:cNvPr>
          <xdr:cNvSpPr/>
        </xdr:nvSpPr>
        <xdr:spPr>
          <a:xfrm>
            <a:off x="17896349" y="2387592"/>
            <a:ext cx="2202309" cy="751848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Feed Consumption (kg)</a:t>
            </a:r>
          </a:p>
        </xdr:txBody>
      </xdr:sp>
    </xdr:grpSp>
    <xdr:clientData/>
  </xdr:twoCellAnchor>
  <xdr:twoCellAnchor>
    <xdr:from>
      <xdr:col>1</xdr:col>
      <xdr:colOff>594360</xdr:colOff>
      <xdr:row>47</xdr:row>
      <xdr:rowOff>106680</xdr:rowOff>
    </xdr:from>
    <xdr:to>
      <xdr:col>5</xdr:col>
      <xdr:colOff>358269</xdr:colOff>
      <xdr:row>54</xdr:row>
      <xdr:rowOff>14613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42DC368-A40B-44D3-B9C0-03F5AD07B88C}"/>
            </a:ext>
          </a:extLst>
        </xdr:cNvPr>
        <xdr:cNvGrpSpPr/>
      </xdr:nvGrpSpPr>
      <xdr:grpSpPr>
        <a:xfrm>
          <a:off x="1203960" y="8463280"/>
          <a:ext cx="2202309" cy="1152533"/>
          <a:chOff x="17896349" y="2393307"/>
          <a:chExt cx="2202309" cy="1188093"/>
        </a:xfrm>
      </xdr:grpSpPr>
      <xdr:sp macro="" textlink="pivot!Z4">
        <xdr:nvSpPr>
          <xdr:cNvPr id="25" name="Rectangle 24">
            <a:extLst>
              <a:ext uri="{FF2B5EF4-FFF2-40B4-BE49-F238E27FC236}">
                <a16:creationId xmlns:a16="http://schemas.microsoft.com/office/drawing/2014/main" id="{46EC109B-D81D-1DDB-CC42-EC28A872465D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81E147D-B767-41D4-91B6-E651764AAF4A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1.01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26" name="Rectangle 25">
            <a:extLst>
              <a:ext uri="{FF2B5EF4-FFF2-40B4-BE49-F238E27FC236}">
                <a16:creationId xmlns:a16="http://schemas.microsoft.com/office/drawing/2014/main" id="{22F99C37-A8CD-20E7-CB9E-12FBADD39B9B}"/>
              </a:ext>
            </a:extLst>
          </xdr:cNvPr>
          <xdr:cNvSpPr/>
        </xdr:nvSpPr>
        <xdr:spPr>
          <a:xfrm>
            <a:off x="17896349" y="2393307"/>
            <a:ext cx="2202309" cy="74613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Feed Conversion Rate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103324</xdr:colOff>
      <xdr:row>1</xdr:row>
      <xdr:rowOff>51660</xdr:rowOff>
    </xdr:from>
    <xdr:to>
      <xdr:col>25</xdr:col>
      <xdr:colOff>568271</xdr:colOff>
      <xdr:row>57</xdr:row>
      <xdr:rowOff>45720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905B60C-7CFD-4EBA-B7C2-D6A4CC6C66A8}"/>
            </a:ext>
          </a:extLst>
        </xdr:cNvPr>
        <xdr:cNvSpPr/>
      </xdr:nvSpPr>
      <xdr:spPr>
        <a:xfrm>
          <a:off x="712924" y="234540"/>
          <a:ext cx="15095347" cy="1023534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15499</xdr:colOff>
      <xdr:row>7</xdr:row>
      <xdr:rowOff>2065</xdr:rowOff>
    </xdr:from>
    <xdr:to>
      <xdr:col>15</xdr:col>
      <xdr:colOff>51660</xdr:colOff>
      <xdr:row>22</xdr:row>
      <xdr:rowOff>33062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CBF76B-58EA-44A7-9848-E1327E039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583770</xdr:colOff>
      <xdr:row>6</xdr:row>
      <xdr:rowOff>144133</xdr:rowOff>
    </xdr:from>
    <xdr:to>
      <xdr:col>25</xdr:col>
      <xdr:colOff>0</xdr:colOff>
      <xdr:row>22</xdr:row>
      <xdr:rowOff>38746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D7241F4-45CB-46BA-AD88-CF3B3E69D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28415</xdr:colOff>
      <xdr:row>22</xdr:row>
      <xdr:rowOff>169964</xdr:rowOff>
    </xdr:from>
    <xdr:to>
      <xdr:col>15</xdr:col>
      <xdr:colOff>51661</xdr:colOff>
      <xdr:row>38</xdr:row>
      <xdr:rowOff>20147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91C2895-05A3-4B54-B58F-EAD92AF74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583771</xdr:colOff>
      <xdr:row>23</xdr:row>
      <xdr:rowOff>2065</xdr:rowOff>
    </xdr:from>
    <xdr:to>
      <xdr:col>25</xdr:col>
      <xdr:colOff>12914</xdr:colOff>
      <xdr:row>38</xdr:row>
      <xdr:rowOff>33062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5D6322E-0930-41A5-8CCE-0643B2152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583770</xdr:colOff>
      <xdr:row>39</xdr:row>
      <xdr:rowOff>14980</xdr:rowOff>
    </xdr:from>
    <xdr:to>
      <xdr:col>15</xdr:col>
      <xdr:colOff>103322</xdr:colOff>
      <xdr:row>52</xdr:row>
      <xdr:rowOff>51661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AC63C97-1F01-4B9A-8F10-3EB0D14DE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570855</xdr:colOff>
      <xdr:row>39</xdr:row>
      <xdr:rowOff>2065</xdr:rowOff>
    </xdr:from>
    <xdr:to>
      <xdr:col>25</xdr:col>
      <xdr:colOff>12914</xdr:colOff>
      <xdr:row>52</xdr:row>
      <xdr:rowOff>167898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954F97B-1067-4032-A9E2-8CF8A41B5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6</xdr:row>
      <xdr:rowOff>152400</xdr:rowOff>
    </xdr:from>
    <xdr:to>
      <xdr:col>5</xdr:col>
      <xdr:colOff>373509</xdr:colOff>
      <xdr:row>11</xdr:row>
      <xdr:rowOff>106053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948CA55-43A9-46E9-98C1-00E571271AE3}"/>
            </a:ext>
          </a:extLst>
        </xdr:cNvPr>
        <xdr:cNvGrpSpPr/>
      </xdr:nvGrpSpPr>
      <xdr:grpSpPr>
        <a:xfrm>
          <a:off x="1219200" y="1249680"/>
          <a:ext cx="2202309" cy="868053"/>
          <a:chOff x="17896349" y="2713347"/>
          <a:chExt cx="2202309" cy="868053"/>
        </a:xfrm>
      </xdr:grpSpPr>
      <xdr:sp macro="" textlink="pivot!AZ3">
        <xdr:nvSpPr>
          <xdr:cNvPr id="9" name="Rectangle 8">
            <a:extLst>
              <a:ext uri="{FF2B5EF4-FFF2-40B4-BE49-F238E27FC236}">
                <a16:creationId xmlns:a16="http://schemas.microsoft.com/office/drawing/2014/main" id="{7A12D54D-671C-D9A1-D5FC-751BA136EDCC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A9591C5-5CE4-447B-9EFB-AB174063D52D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10-Aug-26</a:t>
            </a:fld>
            <a:endParaRPr lang="en-US" sz="66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10" name="Rectangle 9">
            <a:extLst>
              <a:ext uri="{FF2B5EF4-FFF2-40B4-BE49-F238E27FC236}">
                <a16:creationId xmlns:a16="http://schemas.microsoft.com/office/drawing/2014/main" id="{ADC5F56D-C8E3-5412-1187-C8FAC594FC32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Last Update</a:t>
            </a:r>
          </a:p>
        </xdr:txBody>
      </xdr:sp>
    </xdr:grpSp>
    <xdr:clientData/>
  </xdr:twoCellAnchor>
  <xdr:twoCellAnchor>
    <xdr:from>
      <xdr:col>2</xdr:col>
      <xdr:colOff>0</xdr:colOff>
      <xdr:row>12</xdr:row>
      <xdr:rowOff>30480</xdr:rowOff>
    </xdr:from>
    <xdr:to>
      <xdr:col>5</xdr:col>
      <xdr:colOff>373509</xdr:colOff>
      <xdr:row>16</xdr:row>
      <xdr:rowOff>167013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565E7DA-59C5-410C-B034-DD544D69C44E}"/>
            </a:ext>
          </a:extLst>
        </xdr:cNvPr>
        <xdr:cNvGrpSpPr/>
      </xdr:nvGrpSpPr>
      <xdr:grpSpPr>
        <a:xfrm>
          <a:off x="1219200" y="2225040"/>
          <a:ext cx="2202309" cy="868053"/>
          <a:chOff x="17896349" y="2713347"/>
          <a:chExt cx="2202309" cy="868053"/>
        </a:xfrm>
      </xdr:grpSpPr>
      <xdr:sp macro="" textlink="pivot!AZ4">
        <xdr:nvSpPr>
          <xdr:cNvPr id="16" name="Rectangle 15">
            <a:extLst>
              <a:ext uri="{FF2B5EF4-FFF2-40B4-BE49-F238E27FC236}">
                <a16:creationId xmlns:a16="http://schemas.microsoft.com/office/drawing/2014/main" id="{718FF673-8889-2D57-7D8C-BE05E54A8E98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0480820-D79C-445F-982F-2344A6F8B7BA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65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25" name="Rectangle 24">
            <a:extLst>
              <a:ext uri="{FF2B5EF4-FFF2-40B4-BE49-F238E27FC236}">
                <a16:creationId xmlns:a16="http://schemas.microsoft.com/office/drawing/2014/main" id="{68FA0728-C978-0176-CB2C-3732FB75AB5D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Days of Culture</a:t>
            </a:r>
          </a:p>
        </xdr:txBody>
      </xdr:sp>
    </xdr:grpSp>
    <xdr:clientData/>
  </xdr:twoCellAnchor>
  <xdr:twoCellAnchor>
    <xdr:from>
      <xdr:col>2</xdr:col>
      <xdr:colOff>0</xdr:colOff>
      <xdr:row>17</xdr:row>
      <xdr:rowOff>91440</xdr:rowOff>
    </xdr:from>
    <xdr:to>
      <xdr:col>5</xdr:col>
      <xdr:colOff>373509</xdr:colOff>
      <xdr:row>24</xdr:row>
      <xdr:rowOff>14613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FA1BED7-9E0D-4EF2-B223-81C2906EB791}"/>
            </a:ext>
          </a:extLst>
        </xdr:cNvPr>
        <xdr:cNvGrpSpPr/>
      </xdr:nvGrpSpPr>
      <xdr:grpSpPr>
        <a:xfrm>
          <a:off x="1219200" y="3200400"/>
          <a:ext cx="2202309" cy="1203333"/>
          <a:chOff x="17896349" y="2378067"/>
          <a:chExt cx="2202309" cy="1203333"/>
        </a:xfrm>
      </xdr:grpSpPr>
      <xdr:sp macro="" textlink="pivot!AA4">
        <xdr:nvSpPr>
          <xdr:cNvPr id="27" name="Rectangle 26">
            <a:extLst>
              <a:ext uri="{FF2B5EF4-FFF2-40B4-BE49-F238E27FC236}">
                <a16:creationId xmlns:a16="http://schemas.microsoft.com/office/drawing/2014/main" id="{84D3E832-2722-8FB6-878E-B29CF970C3CA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F6095FA-6C23-4436-B5CE-46C831D5D109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57.89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28" name="Rectangle 27">
            <a:extLst>
              <a:ext uri="{FF2B5EF4-FFF2-40B4-BE49-F238E27FC236}">
                <a16:creationId xmlns:a16="http://schemas.microsoft.com/office/drawing/2014/main" id="{784971A6-B769-91FC-2201-2E393F5C8C7E}"/>
              </a:ext>
            </a:extLst>
          </xdr:cNvPr>
          <xdr:cNvSpPr/>
        </xdr:nvSpPr>
        <xdr:spPr>
          <a:xfrm>
            <a:off x="17896349" y="2378067"/>
            <a:ext cx="2202309" cy="76137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Average Body Weight (g)</a:t>
            </a:r>
          </a:p>
        </xdr:txBody>
      </xdr:sp>
    </xdr:grpSp>
    <xdr:clientData/>
  </xdr:twoCellAnchor>
  <xdr:twoCellAnchor>
    <xdr:from>
      <xdr:col>2</xdr:col>
      <xdr:colOff>2004</xdr:colOff>
      <xdr:row>24</xdr:row>
      <xdr:rowOff>117638</xdr:rowOff>
    </xdr:from>
    <xdr:to>
      <xdr:col>5</xdr:col>
      <xdr:colOff>375513</xdr:colOff>
      <xdr:row>29</xdr:row>
      <xdr:rowOff>71291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F9F6DEB4-D099-48D1-8483-A7D3B99DE6D5}"/>
            </a:ext>
          </a:extLst>
        </xdr:cNvPr>
        <xdr:cNvGrpSpPr/>
      </xdr:nvGrpSpPr>
      <xdr:grpSpPr>
        <a:xfrm>
          <a:off x="1221204" y="4506758"/>
          <a:ext cx="2202309" cy="868053"/>
          <a:chOff x="17896349" y="2713347"/>
          <a:chExt cx="2202309" cy="868053"/>
        </a:xfrm>
      </xdr:grpSpPr>
      <xdr:sp macro="" textlink="pivot!AD4">
        <xdr:nvSpPr>
          <xdr:cNvPr id="32" name="Rectangle 31">
            <a:extLst>
              <a:ext uri="{FF2B5EF4-FFF2-40B4-BE49-F238E27FC236}">
                <a16:creationId xmlns:a16="http://schemas.microsoft.com/office/drawing/2014/main" id="{1009D56F-F3CB-3208-2368-F2F4BAEB0750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56E71CC-4791-4EC4-87B7-103194B16E49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6409.18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33" name="Rectangle 32">
            <a:extLst>
              <a:ext uri="{FF2B5EF4-FFF2-40B4-BE49-F238E27FC236}">
                <a16:creationId xmlns:a16="http://schemas.microsoft.com/office/drawing/2014/main" id="{01018950-C334-B34B-4B0A-84055B976BFD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Biomass (kg)</a:t>
            </a:r>
          </a:p>
        </xdr:txBody>
      </xdr:sp>
    </xdr:grpSp>
    <xdr:clientData/>
  </xdr:twoCellAnchor>
  <xdr:twoCellAnchor>
    <xdr:from>
      <xdr:col>2</xdr:col>
      <xdr:colOff>17244</xdr:colOff>
      <xdr:row>29</xdr:row>
      <xdr:rowOff>148118</xdr:rowOff>
    </xdr:from>
    <xdr:to>
      <xdr:col>5</xdr:col>
      <xdr:colOff>390753</xdr:colOff>
      <xdr:row>34</xdr:row>
      <xdr:rowOff>101771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A8860FA-8634-4BBE-9055-5F1D9F2C35A4}"/>
            </a:ext>
          </a:extLst>
        </xdr:cNvPr>
        <xdr:cNvGrpSpPr/>
      </xdr:nvGrpSpPr>
      <xdr:grpSpPr>
        <a:xfrm>
          <a:off x="1236444" y="5451638"/>
          <a:ext cx="2202309" cy="868053"/>
          <a:chOff x="17896349" y="2713347"/>
          <a:chExt cx="2202309" cy="868053"/>
        </a:xfrm>
      </xdr:grpSpPr>
      <xdr:sp macro="" textlink="pivot!AB4">
        <xdr:nvSpPr>
          <xdr:cNvPr id="35" name="Rectangle 34">
            <a:extLst>
              <a:ext uri="{FF2B5EF4-FFF2-40B4-BE49-F238E27FC236}">
                <a16:creationId xmlns:a16="http://schemas.microsoft.com/office/drawing/2014/main" id="{61CDA669-0A54-E65B-E41C-BFBE23047A72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CDF6A05-4A6F-4112-9190-27D61E742573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110713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36" name="Rectangle 35">
            <a:extLst>
              <a:ext uri="{FF2B5EF4-FFF2-40B4-BE49-F238E27FC236}">
                <a16:creationId xmlns:a16="http://schemas.microsoft.com/office/drawing/2014/main" id="{CF60FA9E-AD88-D98B-583F-6B991B7CB4BF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No. of Population</a:t>
            </a:r>
          </a:p>
        </xdr:txBody>
      </xdr:sp>
    </xdr:grpSp>
    <xdr:clientData/>
  </xdr:twoCellAnchor>
  <xdr:twoCellAnchor>
    <xdr:from>
      <xdr:col>2</xdr:col>
      <xdr:colOff>17244</xdr:colOff>
      <xdr:row>35</xdr:row>
      <xdr:rowOff>10958</xdr:rowOff>
    </xdr:from>
    <xdr:to>
      <xdr:col>5</xdr:col>
      <xdr:colOff>390753</xdr:colOff>
      <xdr:row>39</xdr:row>
      <xdr:rowOff>147491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8FD57F41-4F27-4876-B37C-C42DE873E5FC}"/>
            </a:ext>
          </a:extLst>
        </xdr:cNvPr>
        <xdr:cNvGrpSpPr/>
      </xdr:nvGrpSpPr>
      <xdr:grpSpPr>
        <a:xfrm>
          <a:off x="1236444" y="6411758"/>
          <a:ext cx="2202309" cy="868053"/>
          <a:chOff x="17896349" y="2713347"/>
          <a:chExt cx="2202309" cy="868053"/>
        </a:xfrm>
      </xdr:grpSpPr>
      <xdr:sp macro="" textlink="pivot!AC4">
        <xdr:nvSpPr>
          <xdr:cNvPr id="38" name="Rectangle 37">
            <a:extLst>
              <a:ext uri="{FF2B5EF4-FFF2-40B4-BE49-F238E27FC236}">
                <a16:creationId xmlns:a16="http://schemas.microsoft.com/office/drawing/2014/main" id="{573BC2A2-8D64-D52E-04A2-725BFA05D48E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3FF60D34-7CF3-47BD-A91F-8EF546672EAC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92.26%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39" name="Rectangle 38">
            <a:extLst>
              <a:ext uri="{FF2B5EF4-FFF2-40B4-BE49-F238E27FC236}">
                <a16:creationId xmlns:a16="http://schemas.microsoft.com/office/drawing/2014/main" id="{096B4ABA-C7D7-6BF2-ECF9-619D9DE68333}"/>
              </a:ext>
            </a:extLst>
          </xdr:cNvPr>
          <xdr:cNvSpPr/>
        </xdr:nvSpPr>
        <xdr:spPr>
          <a:xfrm>
            <a:off x="17896349" y="2713347"/>
            <a:ext cx="2202309" cy="4260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Survival Rate</a:t>
            </a:r>
          </a:p>
        </xdr:txBody>
      </xdr:sp>
    </xdr:grpSp>
    <xdr:clientData/>
  </xdr:twoCellAnchor>
  <xdr:twoCellAnchor>
    <xdr:from>
      <xdr:col>2</xdr:col>
      <xdr:colOff>27563</xdr:colOff>
      <xdr:row>40</xdr:row>
      <xdr:rowOff>44538</xdr:rowOff>
    </xdr:from>
    <xdr:to>
      <xdr:col>5</xdr:col>
      <xdr:colOff>401072</xdr:colOff>
      <xdr:row>46</xdr:row>
      <xdr:rowOff>120111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7C10432B-233B-4A0B-916D-5F86EDA82968}"/>
            </a:ext>
          </a:extLst>
        </xdr:cNvPr>
        <xdr:cNvGrpSpPr/>
      </xdr:nvGrpSpPr>
      <xdr:grpSpPr>
        <a:xfrm>
          <a:off x="1246763" y="7359738"/>
          <a:ext cx="2202309" cy="1172853"/>
          <a:chOff x="17896349" y="2408547"/>
          <a:chExt cx="2202309" cy="1172853"/>
        </a:xfrm>
      </xdr:grpSpPr>
      <xdr:sp macro="" textlink="pivot!AE4">
        <xdr:nvSpPr>
          <xdr:cNvPr id="41" name="Rectangle 40">
            <a:extLst>
              <a:ext uri="{FF2B5EF4-FFF2-40B4-BE49-F238E27FC236}">
                <a16:creationId xmlns:a16="http://schemas.microsoft.com/office/drawing/2014/main" id="{7E3FD8C7-240F-91F3-A7BC-4A4153E622FB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47D91D7-D3EF-4FA7-8CFF-CD6838F989D6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8740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42" name="Rectangle 41">
            <a:extLst>
              <a:ext uri="{FF2B5EF4-FFF2-40B4-BE49-F238E27FC236}">
                <a16:creationId xmlns:a16="http://schemas.microsoft.com/office/drawing/2014/main" id="{2A1FD1FA-3E75-89FC-60FF-F6023235792F}"/>
              </a:ext>
            </a:extLst>
          </xdr:cNvPr>
          <xdr:cNvSpPr/>
        </xdr:nvSpPr>
        <xdr:spPr>
          <a:xfrm>
            <a:off x="17896349" y="2408547"/>
            <a:ext cx="2202309" cy="73089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Feed Consumption (kg)</a:t>
            </a:r>
          </a:p>
        </xdr:txBody>
      </xdr:sp>
    </xdr:grpSp>
    <xdr:clientData/>
  </xdr:twoCellAnchor>
  <xdr:twoCellAnchor>
    <xdr:from>
      <xdr:col>2</xdr:col>
      <xdr:colOff>27563</xdr:colOff>
      <xdr:row>47</xdr:row>
      <xdr:rowOff>75018</xdr:rowOff>
    </xdr:from>
    <xdr:to>
      <xdr:col>5</xdr:col>
      <xdr:colOff>401072</xdr:colOff>
      <xdr:row>53</xdr:row>
      <xdr:rowOff>165831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D0A993BD-E95B-412E-8DF2-5FF01F245018}"/>
            </a:ext>
          </a:extLst>
        </xdr:cNvPr>
        <xdr:cNvGrpSpPr/>
      </xdr:nvGrpSpPr>
      <xdr:grpSpPr>
        <a:xfrm>
          <a:off x="1246763" y="8670378"/>
          <a:ext cx="2202309" cy="1188093"/>
          <a:chOff x="17896349" y="2393307"/>
          <a:chExt cx="2202309" cy="1188093"/>
        </a:xfrm>
      </xdr:grpSpPr>
      <xdr:sp macro="" textlink="pivot!AZ2">
        <xdr:nvSpPr>
          <xdr:cNvPr id="44" name="Rectangle 43">
            <a:extLst>
              <a:ext uri="{FF2B5EF4-FFF2-40B4-BE49-F238E27FC236}">
                <a16:creationId xmlns:a16="http://schemas.microsoft.com/office/drawing/2014/main" id="{D34D1B99-ED84-2EEC-7482-2CD778052CFF}"/>
              </a:ext>
            </a:extLst>
          </xdr:cNvPr>
          <xdr:cNvSpPr/>
        </xdr:nvSpPr>
        <xdr:spPr>
          <a:xfrm>
            <a:off x="17896349" y="3155307"/>
            <a:ext cx="2202309" cy="42609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68E4376-C2F3-439E-BFD0-99552F2237BF}" type="TxLink"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pPr algn="ctr"/>
              <a:t>1.36</a:t>
            </a:fld>
            <a:endParaRPr lang="en-US" sz="11500" b="0" i="0" u="none" strike="noStrike" baseline="0">
              <a:solidFill>
                <a:srgbClr val="000000"/>
              </a:solidFill>
              <a:latin typeface="Aptos Narrow"/>
              <a:ea typeface="Calibri"/>
              <a:cs typeface="Calibri"/>
            </a:endParaRPr>
          </a:p>
        </xdr:txBody>
      </xdr:sp>
      <xdr:sp macro="" textlink="pivot!Z2">
        <xdr:nvSpPr>
          <xdr:cNvPr id="45" name="Rectangle 44">
            <a:extLst>
              <a:ext uri="{FF2B5EF4-FFF2-40B4-BE49-F238E27FC236}">
                <a16:creationId xmlns:a16="http://schemas.microsoft.com/office/drawing/2014/main" id="{5F4C2204-522B-242D-00AE-2A90BD3FA0CE}"/>
              </a:ext>
            </a:extLst>
          </xdr:cNvPr>
          <xdr:cNvSpPr/>
        </xdr:nvSpPr>
        <xdr:spPr>
          <a:xfrm>
            <a:off x="17896349" y="2393307"/>
            <a:ext cx="2202309" cy="74613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0" i="0" u="none" strike="noStrike" baseline="0">
                <a:solidFill>
                  <a:srgbClr val="000000"/>
                </a:solidFill>
                <a:latin typeface="Aptos Narrow"/>
                <a:ea typeface="Calibri"/>
                <a:cs typeface="Calibri"/>
              </a:rPr>
              <a:t>Feed Conversion Rate</a:t>
            </a:r>
          </a:p>
        </xdr:txBody>
      </xdr:sp>
    </xdr:grpSp>
    <xdr:clientData/>
  </xdr:twoCellAnchor>
  <xdr:twoCellAnchor>
    <xdr:from>
      <xdr:col>3</xdr:col>
      <xdr:colOff>243840</xdr:colOff>
      <xdr:row>2</xdr:row>
      <xdr:rowOff>45720</xdr:rowOff>
    </xdr:from>
    <xdr:to>
      <xdr:col>23</xdr:col>
      <xdr:colOff>258478</xdr:colOff>
      <xdr:row>5</xdr:row>
      <xdr:rowOff>125528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35A461A-C221-4CA5-8274-A74D314046BE}"/>
            </a:ext>
          </a:extLst>
        </xdr:cNvPr>
        <xdr:cNvSpPr/>
      </xdr:nvSpPr>
      <xdr:spPr>
        <a:xfrm>
          <a:off x="2072640" y="411480"/>
          <a:ext cx="12206638" cy="6284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/>
            <a:t>Operations</a:t>
          </a:r>
          <a:r>
            <a:rPr lang="en-US" sz="3200" baseline="0"/>
            <a:t> </a:t>
          </a:r>
          <a:r>
            <a:rPr lang="en-US" sz="3200"/>
            <a:t>KPI</a:t>
          </a:r>
          <a:r>
            <a:rPr lang="en-US" sz="3200" baseline="0"/>
            <a:t> </a:t>
          </a:r>
          <a:r>
            <a:rPr lang="en-US" sz="3200"/>
            <a:t>Dashboard_Portfolio</a:t>
          </a:r>
          <a:r>
            <a:rPr lang="en-US" sz="3200" baseline="0"/>
            <a:t>- CAGE 2</a:t>
          </a:r>
          <a:endParaRPr lang="en-US" sz="3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5.884424305557" backgroundQuery="1" createdVersion="8" refreshedVersion="8" minRefreshableVersion="3" recordCount="65" xr:uid="{529DCA26-BDF2-48B2-A8E2-4190B846A10A}">
  <cacheSource type="external" connectionId="4"/>
  <cacheFields count="21">
    <cacheField name="date" numFmtId="0">
      <sharedItems containsSemiMixedTypes="0" containsNonDate="0" containsDate="1" containsString="0" minDate="2026-06-07T00:00:00" maxDate="2026-08-11T00:00:00" count="65"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</sharedItems>
    </cacheField>
    <cacheField name="cage" numFmtId="0">
      <sharedItems containsSemiMixedTypes="0" containsString="0" containsNumber="1" containsInteger="1" minValue="3" maxValue="3" count="1">
        <n v="3"/>
      </sharedItems>
    </cacheField>
    <cacheField name="doc" numFmtId="0">
      <sharedItems containsSemiMixedTypes="0" containsString="0" containsNumber="1" containsInteger="1" minValue="1" maxValue="70" count="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 u="1"/>
        <n v="67" u="1"/>
        <n v="68" u="1"/>
        <n v="69" u="1"/>
        <n v="70" u="1"/>
      </sharedItems>
    </cacheField>
    <cacheField name="type of feed" numFmtId="0">
      <sharedItems containsBlank="1" count="2">
        <s v="GC"/>
        <m u="1"/>
      </sharedItems>
    </cacheField>
    <cacheField name="GC#1" numFmtId="0">
      <sharedItems containsString="0" containsBlank="1" containsNumber="1" containsInteger="1" minValue="1" maxValue="13" count="14">
        <n v="1"/>
        <n v="2"/>
        <n v="3"/>
        <n v="4"/>
        <n v="5"/>
        <n v="6"/>
        <n v="7"/>
        <n v="8"/>
        <m/>
        <n v="10"/>
        <n v="11"/>
        <n v="9"/>
        <n v="12"/>
        <n v="13"/>
      </sharedItems>
    </cacheField>
    <cacheField name="GC#2" numFmtId="0">
      <sharedItems containsString="0" containsBlank="1" count="1">
        <m/>
      </sharedItems>
    </cacheField>
    <cacheField name="feed/bag" numFmtId="0">
      <sharedItems containsSemiMixedTypes="0" containsString="0" containsNumber="1" containsInteger="1" minValue="0" maxValue="13" count="14">
        <n v="1"/>
        <n v="2"/>
        <n v="3"/>
        <n v="4"/>
        <n v="5"/>
        <n v="6"/>
        <n v="7"/>
        <n v="8"/>
        <n v="0"/>
        <n v="10"/>
        <n v="11"/>
        <n v="9"/>
        <n v="12"/>
        <n v="13"/>
      </sharedItems>
    </cacheField>
    <cacheField name="feed/day (kg)" numFmtId="0">
      <sharedItems containsSemiMixedTypes="0" containsString="0" containsNumber="1" containsInteger="1" minValue="0" maxValue="260" count="14">
        <n v="20"/>
        <n v="40"/>
        <n v="60"/>
        <n v="80"/>
        <n v="100"/>
        <n v="120"/>
        <n v="140"/>
        <n v="160"/>
        <n v="0"/>
        <n v="200"/>
        <n v="220"/>
        <n v="180"/>
        <n v="240"/>
        <n v="260"/>
      </sharedItems>
    </cacheField>
    <cacheField name="feed/cum (kg)" numFmtId="0">
      <sharedItems containsSemiMixedTypes="0" containsString="0" containsNumber="1" containsInteger="1" minValue="20" maxValue="8740"/>
    </cacheField>
    <cacheField name="supplement" numFmtId="0">
      <sharedItems containsBlank="1" count="6">
        <s v="Garlic Powder"/>
        <s v="Liver Guard"/>
        <m/>
        <s v="Enrofloxacin"/>
        <s v="Florfenicol"/>
        <s v="3pek Glukosa (3包葡萄糖)"/>
      </sharedItems>
    </cacheField>
    <cacheField name="gram" numFmtId="0">
      <sharedItems containsString="0" containsBlank="1" containsNumber="1" containsInteger="1" minValue="100" maxValue="200" count="4">
        <n v="100"/>
        <n v="200"/>
        <m/>
        <n v="150"/>
      </sharedItems>
    </cacheField>
    <cacheField name="abw (kg)" numFmtId="0">
      <sharedItems containsString="0" containsBlank="1" containsNumber="1" minValue="5.0999999999999996" maxValue="57.89" count="9">
        <m/>
        <n v="5.0999999999999996"/>
        <n v="10.3"/>
        <n v="16.8"/>
        <n v="23.8"/>
        <n v="51.4"/>
        <n v="52.46153846153846"/>
        <n v="53.523076923076921"/>
        <n v="57.89"/>
      </sharedItems>
    </cacheField>
    <cacheField name="adg (g)" numFmtId="0">
      <sharedItems containsString="0" containsBlank="1" containsNumber="1" minValue="1.0615384615384615" maxValue="1.0615384615384615" count="2">
        <m/>
        <n v="1.0615384615384615"/>
      </sharedItems>
    </cacheField>
    <cacheField name="dead(morning)" numFmtId="0">
      <sharedItems containsString="0" containsBlank="1" containsNumber="1" containsInteger="1" minValue="4" maxValue="4" count="2">
        <m/>
        <n v="4"/>
      </sharedItems>
    </cacheField>
    <cacheField name="dead(afternoon)" numFmtId="0">
      <sharedItems containsString="0" containsBlank="1" containsNumber="1" containsInteger="1" minValue="20" maxValue="20" count="2">
        <m/>
        <n v="20"/>
      </sharedItems>
    </cacheField>
    <cacheField name="dead(evening)" numFmtId="0">
      <sharedItems containsString="0" containsBlank="1" containsNumber="1" containsInteger="1" minValue="16" maxValue="16" count="2">
        <m/>
        <n v="16"/>
      </sharedItems>
    </cacheField>
    <cacheField name="dead/day" numFmtId="0">
      <sharedItems containsString="0" containsBlank="1" containsNumber="1" containsInteger="1" minValue="0" maxValue="800"/>
    </cacheField>
    <cacheField name="actual population" numFmtId="0">
      <sharedItems containsSemiMixedTypes="0" containsString="0" containsNumber="1" containsInteger="1" minValue="110713" maxValue="119200"/>
    </cacheField>
    <cacheField name="actual SR" numFmtId="0">
      <sharedItems containsSemiMixedTypes="0" containsString="0" containsNumber="1" minValue="0.92260833333333336" maxValue="0.99333333333333329"/>
    </cacheField>
    <cacheField name="biomass (kg)" numFmtId="0">
      <sharedItems containsSemiMixedTypes="0" containsString="0" containsNumber="1" minValue="0" maxValue="6409.1755700000003" count="9">
        <n v="0"/>
        <n v="607.91999999999996"/>
        <n v="1227.0802000000001"/>
        <n v="1998.6456000000003"/>
        <n v="2806.9482000000003"/>
        <n v="5716.8108000000002"/>
        <n v="5834.7723076923075"/>
        <n v="5951.0168307692311"/>
        <n v="6409.1755700000003"/>
      </sharedItems>
    </cacheField>
    <cacheField name="FCR" numFmtId="0">
      <sharedItems containsString="0" containsBlank="1" containsNumber="1" minValue="6.5798131333070151E-2" maxValue="1.3636699298596371" count="9">
        <m/>
        <n v="6.5798131333070151E-2"/>
        <n v="0.39117247593107601"/>
        <n v="0.73049469100474829"/>
        <n v="0.99039946658082245"/>
        <n v="1.1859759290966914"/>
        <n v="1.1962763295489482"/>
        <n v="1.2098772705150163"/>
        <n v="1.36366992985963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5.884429745369" backgroundQuery="1" createdVersion="8" refreshedVersion="8" minRefreshableVersion="3" recordCount="104" xr:uid="{6EC08270-2ADD-4CF2-B884-C7AF2B60204B}">
  <cacheSource type="external" connectionId="2"/>
  <cacheFields count="21">
    <cacheField name="date" numFmtId="0">
      <sharedItems containsSemiMixedTypes="0" containsNonDate="0" containsDate="1" containsString="0" minDate="2026-04-29T00:00:00" maxDate="2026-08-11T00:00:00" count="104"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</sharedItems>
    </cacheField>
    <cacheField name="cage" numFmtId="0">
      <sharedItems containsSemiMixedTypes="0" containsString="0" containsNumber="1" containsInteger="1" minValue="2" maxValue="2" count="1">
        <n v="2"/>
      </sharedItems>
    </cacheField>
    <cacheField name="doc" numFmtId="0">
      <sharedItems containsSemiMixedTypes="0" containsString="0" containsNumber="1" containsInteger="1" minValue="1" maxValue="200" count="10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200" u="1"/>
      </sharedItems>
    </cacheField>
    <cacheField name="type of feed" numFmtId="0">
      <sharedItems containsBlank="1" count="3">
        <s v="-"/>
        <s v="GC"/>
        <m u="1"/>
      </sharedItems>
    </cacheField>
    <cacheField name="GC#1" numFmtId="0">
      <sharedItems containsString="0" containsBlank="1" containsNumber="1" containsInteger="1" minValue="1" maxValue="8" count="9">
        <m/>
        <n v="2"/>
        <n v="3"/>
        <n v="4"/>
        <n v="5"/>
        <n v="6"/>
        <n v="7"/>
        <n v="8"/>
        <n v="1"/>
      </sharedItems>
    </cacheField>
    <cacheField name="GC#2" numFmtId="0">
      <sharedItems containsString="0" containsBlank="1" containsNumber="1" containsInteger="1" minValue="2" maxValue="20" count="16">
        <m/>
        <n v="4"/>
        <n v="3"/>
        <n v="2"/>
        <n v="6"/>
        <n v="9"/>
        <n v="10"/>
        <n v="8"/>
        <n v="16"/>
        <n v="17"/>
        <n v="14"/>
        <n v="12"/>
        <n v="11"/>
        <n v="15"/>
        <n v="18"/>
        <n v="20"/>
      </sharedItems>
    </cacheField>
    <cacheField name="feed/bag" numFmtId="0">
      <sharedItems containsString="0" containsBlank="1" containsNumber="1" containsInteger="1" minValue="1" maxValue="20" count="20">
        <m/>
        <n v="2"/>
        <n v="3"/>
        <n v="4"/>
        <n v="5"/>
        <n v="6"/>
        <n v="7"/>
        <n v="8"/>
        <n v="9"/>
        <n v="10"/>
        <n v="11"/>
        <n v="12"/>
        <n v="13"/>
        <n v="14"/>
        <n v="16"/>
        <n v="17"/>
        <n v="1"/>
        <n v="15"/>
        <n v="18"/>
        <n v="20"/>
      </sharedItems>
    </cacheField>
    <cacheField name="feed/day (kg)" numFmtId="0">
      <sharedItems containsString="0" containsBlank="1" containsNumber="1" containsInteger="1" minValue="20" maxValue="400" count="20">
        <m/>
        <n v="40"/>
        <n v="60"/>
        <n v="80"/>
        <n v="100"/>
        <n v="120"/>
        <n v="140"/>
        <n v="160"/>
        <n v="180"/>
        <n v="200"/>
        <n v="220"/>
        <n v="240"/>
        <n v="260"/>
        <n v="280"/>
        <n v="320"/>
        <n v="340"/>
        <n v="20"/>
        <n v="300"/>
        <n v="360"/>
        <n v="400"/>
      </sharedItems>
    </cacheField>
    <cacheField name="feed/cum (kg)" numFmtId="0">
      <sharedItems containsString="0" containsBlank="1" containsNumber="1" containsInteger="1" minValue="40" maxValue="17940"/>
    </cacheField>
    <cacheField name="supplement" numFmtId="0">
      <sharedItems containsBlank="1" count="7">
        <m/>
        <s v="Garlic Powder"/>
        <s v="Gut Heart Enhancer"/>
        <s v="Liver Guard"/>
        <s v="Enrofloxacin"/>
        <s v="Florfenicol"/>
        <s v="Enroflaxin" u="1"/>
      </sharedItems>
    </cacheField>
    <cacheField name="gram" numFmtId="0">
      <sharedItems containsString="0" containsBlank="1" containsNumber="1" containsInteger="1" minValue="80" maxValue="200" count="5">
        <m/>
        <n v="200"/>
        <n v="100"/>
        <n v="80"/>
        <n v="150"/>
      </sharedItems>
    </cacheField>
    <cacheField name="abw (kg)" numFmtId="0">
      <sharedItems containsString="0" containsBlank="1" containsNumber="1" containsInteger="1" minValue="15" maxValue="176" count="12">
        <m/>
        <n v="50"/>
        <n v="15"/>
        <n v="33"/>
        <n v="36"/>
        <n v="47"/>
        <n v="51"/>
        <n v="76"/>
        <n v="133"/>
        <n v="134"/>
        <n v="136"/>
        <n v="176"/>
      </sharedItems>
    </cacheField>
    <cacheField name="adg (g)" numFmtId="0">
      <sharedItems containsString="0" containsBlank="1" containsNumber="1" minValue="0.5" maxValue="3.2700000000000005" count="6">
        <m/>
        <n v="0.5"/>
        <n v="1.5"/>
        <n v="3.2700000000000005"/>
        <n v="1.0185714285714285"/>
        <n v="1.8899999999999997"/>
      </sharedItems>
    </cacheField>
    <cacheField name="dead(morning)" numFmtId="0">
      <sharedItems containsString="0" containsBlank="1" containsNumber="1" containsInteger="1" minValue="3" maxValue="328"/>
    </cacheField>
    <cacheField name="dead(afternoon)" numFmtId="0">
      <sharedItems containsString="0" containsBlank="1" containsNumber="1" containsInteger="1" minValue="2" maxValue="122" count="13">
        <m/>
        <n v="25"/>
        <n v="21"/>
        <n v="12"/>
        <n v="8"/>
        <n v="9"/>
        <n v="26"/>
        <n v="34"/>
        <n v="2"/>
        <n v="15"/>
        <n v="36"/>
        <n v="58"/>
        <n v="122"/>
      </sharedItems>
    </cacheField>
    <cacheField name="dead(evening)" numFmtId="0">
      <sharedItems containsString="0" containsBlank="1" containsNumber="1" containsInteger="1" minValue="6" maxValue="44" count="9">
        <m/>
        <n v="21"/>
        <n v="22"/>
        <n v="34"/>
        <n v="25"/>
        <n v="18"/>
        <n v="6"/>
        <n v="44"/>
        <n v="32"/>
      </sharedItems>
    </cacheField>
    <cacheField name="dead/day" numFmtId="0">
      <sharedItems containsString="0" containsBlank="1" containsNumber="1" containsInteger="1" minValue="0" maxValue="328"/>
    </cacheField>
    <cacheField name="actual population" numFmtId="0">
      <sharedItems containsString="0" containsBlank="1" containsNumber="1" containsInteger="1" minValue="113244" maxValue="119990"/>
    </cacheField>
    <cacheField name="actual SR" numFmtId="0">
      <sharedItems containsString="0" containsBlank="1" containsNumber="1" minValue="0.94369999999999998" maxValue="0.99991666666666668"/>
    </cacheField>
    <cacheField name="biomass (kg)" numFmtId="0">
      <sharedItems containsString="0" containsBlank="1" containsNumber="1" minValue="0" maxValue="19930.944" count="13">
        <m/>
        <n v="5999.5"/>
        <n v="0"/>
        <n v="1789.2149999999999"/>
        <n v="3881.9805000000001"/>
        <n v="4221.4947499999998"/>
        <n v="5509.623599999999"/>
        <n v="5951.7862799999994"/>
        <n v="8792.4837000000007"/>
        <n v="15055.138799999999"/>
        <n v="15267.170309999996"/>
        <n v="15475.447739999998"/>
        <n v="19930.944"/>
      </sharedItems>
    </cacheField>
    <cacheField name="FCR" numFmtId="0">
      <sharedItems containsString="0" containsBlank="1" containsNumber="1" minValue="6.6672222685223766E-3" maxValue="1.0093407481598333" count="12">
        <m/>
        <n v="6.6672222685223766E-3"/>
        <n v="0.30180833494018328"/>
        <n v="0.38640070448576441"/>
        <n v="0.63010856521851655"/>
        <n v="0.7405224560167778"/>
        <n v="0.89048896426435542"/>
        <n v="0.83252926587739928"/>
        <n v="0.984381492384514"/>
        <n v="0.99691034363001119"/>
        <n v="1.0093407481598333"/>
        <n v="0.900107892531332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x v="0"/>
    <x v="0"/>
    <x v="0"/>
    <x v="0"/>
    <x v="0"/>
    <x v="0"/>
    <n v="20"/>
    <x v="0"/>
    <x v="0"/>
    <x v="0"/>
    <x v="0"/>
    <x v="0"/>
    <x v="0"/>
    <x v="0"/>
    <n v="800"/>
    <n v="119200"/>
    <n v="0.99333333333333329"/>
    <x v="0"/>
    <x v="0"/>
  </r>
  <r>
    <x v="1"/>
    <x v="0"/>
    <x v="1"/>
    <x v="0"/>
    <x v="0"/>
    <x v="0"/>
    <x v="0"/>
    <x v="0"/>
    <n v="40"/>
    <x v="0"/>
    <x v="0"/>
    <x v="1"/>
    <x v="0"/>
    <x v="0"/>
    <x v="0"/>
    <x v="0"/>
    <n v="0"/>
    <n v="119200"/>
    <n v="0.99333333333333329"/>
    <x v="1"/>
    <x v="1"/>
  </r>
  <r>
    <x v="2"/>
    <x v="0"/>
    <x v="2"/>
    <x v="0"/>
    <x v="1"/>
    <x v="0"/>
    <x v="1"/>
    <x v="1"/>
    <n v="80"/>
    <x v="0"/>
    <x v="1"/>
    <x v="0"/>
    <x v="0"/>
    <x v="0"/>
    <x v="0"/>
    <x v="0"/>
    <n v="0"/>
    <n v="119200"/>
    <n v="0.99333333333333329"/>
    <x v="0"/>
    <x v="0"/>
  </r>
  <r>
    <x v="3"/>
    <x v="0"/>
    <x v="3"/>
    <x v="0"/>
    <x v="1"/>
    <x v="0"/>
    <x v="1"/>
    <x v="1"/>
    <n v="120"/>
    <x v="0"/>
    <x v="1"/>
    <x v="0"/>
    <x v="0"/>
    <x v="0"/>
    <x v="0"/>
    <x v="0"/>
    <n v="0"/>
    <n v="119200"/>
    <n v="0.99333333333333329"/>
    <x v="0"/>
    <x v="0"/>
  </r>
  <r>
    <x v="4"/>
    <x v="0"/>
    <x v="4"/>
    <x v="0"/>
    <x v="2"/>
    <x v="0"/>
    <x v="2"/>
    <x v="2"/>
    <n v="180"/>
    <x v="0"/>
    <x v="1"/>
    <x v="0"/>
    <x v="0"/>
    <x v="0"/>
    <x v="0"/>
    <x v="0"/>
    <n v="0"/>
    <n v="119200"/>
    <n v="0.99333333333333329"/>
    <x v="0"/>
    <x v="0"/>
  </r>
  <r>
    <x v="5"/>
    <x v="0"/>
    <x v="5"/>
    <x v="0"/>
    <x v="2"/>
    <x v="0"/>
    <x v="2"/>
    <x v="2"/>
    <n v="240"/>
    <x v="0"/>
    <x v="1"/>
    <x v="0"/>
    <x v="0"/>
    <x v="0"/>
    <x v="0"/>
    <x v="0"/>
    <n v="6"/>
    <n v="119194"/>
    <n v="0.9932833333333333"/>
    <x v="0"/>
    <x v="0"/>
  </r>
  <r>
    <x v="6"/>
    <x v="0"/>
    <x v="6"/>
    <x v="0"/>
    <x v="2"/>
    <x v="0"/>
    <x v="2"/>
    <x v="2"/>
    <n v="300"/>
    <x v="1"/>
    <x v="1"/>
    <x v="0"/>
    <x v="0"/>
    <x v="0"/>
    <x v="0"/>
    <x v="0"/>
    <n v="2"/>
    <n v="119192"/>
    <n v="0.99326666666666663"/>
    <x v="0"/>
    <x v="0"/>
  </r>
  <r>
    <x v="7"/>
    <x v="0"/>
    <x v="7"/>
    <x v="0"/>
    <x v="2"/>
    <x v="0"/>
    <x v="2"/>
    <x v="2"/>
    <n v="360"/>
    <x v="1"/>
    <x v="1"/>
    <x v="0"/>
    <x v="0"/>
    <x v="0"/>
    <x v="0"/>
    <x v="0"/>
    <n v="3"/>
    <n v="119189"/>
    <n v="0.99324166666666669"/>
    <x v="0"/>
    <x v="0"/>
  </r>
  <r>
    <x v="8"/>
    <x v="0"/>
    <x v="8"/>
    <x v="0"/>
    <x v="2"/>
    <x v="0"/>
    <x v="2"/>
    <x v="2"/>
    <n v="420"/>
    <x v="1"/>
    <x v="1"/>
    <x v="0"/>
    <x v="0"/>
    <x v="0"/>
    <x v="0"/>
    <x v="0"/>
    <n v="15"/>
    <n v="119174"/>
    <n v="0.99311666666666665"/>
    <x v="0"/>
    <x v="0"/>
  </r>
  <r>
    <x v="9"/>
    <x v="0"/>
    <x v="9"/>
    <x v="0"/>
    <x v="2"/>
    <x v="0"/>
    <x v="2"/>
    <x v="2"/>
    <n v="480"/>
    <x v="1"/>
    <x v="1"/>
    <x v="2"/>
    <x v="0"/>
    <x v="1"/>
    <x v="1"/>
    <x v="1"/>
    <n v="40"/>
    <n v="119134"/>
    <n v="0.99278333333333335"/>
    <x v="2"/>
    <x v="2"/>
  </r>
  <r>
    <x v="10"/>
    <x v="0"/>
    <x v="10"/>
    <x v="0"/>
    <x v="3"/>
    <x v="0"/>
    <x v="3"/>
    <x v="3"/>
    <n v="560"/>
    <x v="2"/>
    <x v="2"/>
    <x v="0"/>
    <x v="0"/>
    <x v="0"/>
    <x v="0"/>
    <x v="0"/>
    <n v="26"/>
    <n v="119108"/>
    <n v="0.99256666666666671"/>
    <x v="0"/>
    <x v="0"/>
  </r>
  <r>
    <x v="11"/>
    <x v="0"/>
    <x v="11"/>
    <x v="0"/>
    <x v="3"/>
    <x v="0"/>
    <x v="3"/>
    <x v="3"/>
    <n v="640"/>
    <x v="2"/>
    <x v="2"/>
    <x v="0"/>
    <x v="0"/>
    <x v="0"/>
    <x v="0"/>
    <x v="0"/>
    <n v="12"/>
    <n v="119096"/>
    <n v="0.99246666666666672"/>
    <x v="0"/>
    <x v="0"/>
  </r>
  <r>
    <x v="12"/>
    <x v="0"/>
    <x v="12"/>
    <x v="0"/>
    <x v="3"/>
    <x v="0"/>
    <x v="3"/>
    <x v="3"/>
    <n v="720"/>
    <x v="2"/>
    <x v="2"/>
    <x v="0"/>
    <x v="0"/>
    <x v="0"/>
    <x v="0"/>
    <x v="0"/>
    <n v="10"/>
    <n v="119086"/>
    <n v="0.99238333333333328"/>
    <x v="0"/>
    <x v="0"/>
  </r>
  <r>
    <x v="13"/>
    <x v="0"/>
    <x v="13"/>
    <x v="0"/>
    <x v="3"/>
    <x v="0"/>
    <x v="3"/>
    <x v="3"/>
    <n v="800"/>
    <x v="2"/>
    <x v="2"/>
    <x v="0"/>
    <x v="0"/>
    <x v="0"/>
    <x v="0"/>
    <x v="0"/>
    <n v="14"/>
    <n v="119072"/>
    <n v="0.99226666666666663"/>
    <x v="0"/>
    <x v="0"/>
  </r>
  <r>
    <x v="14"/>
    <x v="0"/>
    <x v="14"/>
    <x v="0"/>
    <x v="4"/>
    <x v="0"/>
    <x v="4"/>
    <x v="4"/>
    <n v="900"/>
    <x v="2"/>
    <x v="2"/>
    <x v="0"/>
    <x v="0"/>
    <x v="0"/>
    <x v="0"/>
    <x v="0"/>
    <n v="15"/>
    <n v="119057"/>
    <n v="0.9921416666666667"/>
    <x v="0"/>
    <x v="0"/>
  </r>
  <r>
    <x v="15"/>
    <x v="0"/>
    <x v="15"/>
    <x v="0"/>
    <x v="4"/>
    <x v="0"/>
    <x v="4"/>
    <x v="4"/>
    <n v="1000"/>
    <x v="2"/>
    <x v="2"/>
    <x v="0"/>
    <x v="0"/>
    <x v="0"/>
    <x v="0"/>
    <x v="0"/>
    <n v="10"/>
    <n v="119047"/>
    <n v="0.99205833333333338"/>
    <x v="0"/>
    <x v="0"/>
  </r>
  <r>
    <x v="16"/>
    <x v="0"/>
    <x v="16"/>
    <x v="0"/>
    <x v="4"/>
    <x v="0"/>
    <x v="4"/>
    <x v="4"/>
    <n v="1100"/>
    <x v="2"/>
    <x v="2"/>
    <x v="0"/>
    <x v="0"/>
    <x v="0"/>
    <x v="0"/>
    <x v="0"/>
    <n v="26"/>
    <n v="119021"/>
    <n v="0.99184166666666662"/>
    <x v="0"/>
    <x v="0"/>
  </r>
  <r>
    <x v="17"/>
    <x v="0"/>
    <x v="17"/>
    <x v="0"/>
    <x v="5"/>
    <x v="0"/>
    <x v="5"/>
    <x v="5"/>
    <n v="1220"/>
    <x v="0"/>
    <x v="1"/>
    <x v="0"/>
    <x v="0"/>
    <x v="0"/>
    <x v="0"/>
    <x v="0"/>
    <n v="32"/>
    <n v="118989"/>
    <n v="0.99157499999999998"/>
    <x v="0"/>
    <x v="0"/>
  </r>
  <r>
    <x v="18"/>
    <x v="0"/>
    <x v="18"/>
    <x v="0"/>
    <x v="5"/>
    <x v="0"/>
    <x v="5"/>
    <x v="5"/>
    <n v="1340"/>
    <x v="2"/>
    <x v="2"/>
    <x v="0"/>
    <x v="0"/>
    <x v="0"/>
    <x v="0"/>
    <x v="0"/>
    <n v="6"/>
    <n v="118983"/>
    <n v="0.99152499999999999"/>
    <x v="0"/>
    <x v="0"/>
  </r>
  <r>
    <x v="19"/>
    <x v="0"/>
    <x v="19"/>
    <x v="0"/>
    <x v="5"/>
    <x v="0"/>
    <x v="5"/>
    <x v="5"/>
    <n v="1460"/>
    <x v="2"/>
    <x v="2"/>
    <x v="3"/>
    <x v="0"/>
    <x v="0"/>
    <x v="0"/>
    <x v="0"/>
    <n v="16"/>
    <n v="118967"/>
    <n v="0.99139166666666667"/>
    <x v="3"/>
    <x v="3"/>
  </r>
  <r>
    <x v="20"/>
    <x v="0"/>
    <x v="20"/>
    <x v="0"/>
    <x v="5"/>
    <x v="0"/>
    <x v="5"/>
    <x v="5"/>
    <n v="1580"/>
    <x v="2"/>
    <x v="2"/>
    <x v="0"/>
    <x v="0"/>
    <x v="0"/>
    <x v="0"/>
    <x v="0"/>
    <n v="44"/>
    <n v="118923"/>
    <n v="0.99102500000000004"/>
    <x v="0"/>
    <x v="0"/>
  </r>
  <r>
    <x v="21"/>
    <x v="0"/>
    <x v="21"/>
    <x v="0"/>
    <x v="5"/>
    <x v="0"/>
    <x v="5"/>
    <x v="5"/>
    <n v="1700"/>
    <x v="2"/>
    <x v="2"/>
    <x v="0"/>
    <x v="0"/>
    <x v="0"/>
    <x v="0"/>
    <x v="0"/>
    <n v="14"/>
    <n v="118909"/>
    <n v="0.99090833333333328"/>
    <x v="0"/>
    <x v="0"/>
  </r>
  <r>
    <x v="22"/>
    <x v="0"/>
    <x v="22"/>
    <x v="0"/>
    <x v="5"/>
    <x v="0"/>
    <x v="5"/>
    <x v="5"/>
    <n v="1820"/>
    <x v="2"/>
    <x v="2"/>
    <x v="0"/>
    <x v="0"/>
    <x v="0"/>
    <x v="0"/>
    <x v="0"/>
    <n v="48"/>
    <n v="118861"/>
    <n v="0.99050833333333332"/>
    <x v="0"/>
    <x v="0"/>
  </r>
  <r>
    <x v="23"/>
    <x v="0"/>
    <x v="23"/>
    <x v="0"/>
    <x v="6"/>
    <x v="0"/>
    <x v="6"/>
    <x v="6"/>
    <n v="1960"/>
    <x v="2"/>
    <x v="2"/>
    <x v="0"/>
    <x v="0"/>
    <x v="0"/>
    <x v="0"/>
    <x v="0"/>
    <n v="51"/>
    <n v="118810"/>
    <n v="0.99008333333333332"/>
    <x v="0"/>
    <x v="0"/>
  </r>
  <r>
    <x v="24"/>
    <x v="0"/>
    <x v="24"/>
    <x v="0"/>
    <x v="7"/>
    <x v="0"/>
    <x v="7"/>
    <x v="7"/>
    <n v="2120"/>
    <x v="2"/>
    <x v="2"/>
    <x v="0"/>
    <x v="0"/>
    <x v="0"/>
    <x v="0"/>
    <x v="0"/>
    <n v="167"/>
    <n v="118643"/>
    <n v="0.98869166666666664"/>
    <x v="0"/>
    <x v="0"/>
  </r>
  <r>
    <x v="25"/>
    <x v="0"/>
    <x v="25"/>
    <x v="0"/>
    <x v="8"/>
    <x v="0"/>
    <x v="8"/>
    <x v="8"/>
    <n v="2120"/>
    <x v="2"/>
    <x v="2"/>
    <x v="0"/>
    <x v="0"/>
    <x v="0"/>
    <x v="0"/>
    <x v="0"/>
    <m/>
    <n v="118643"/>
    <n v="0.98869166666666664"/>
    <x v="0"/>
    <x v="0"/>
  </r>
  <r>
    <x v="26"/>
    <x v="0"/>
    <x v="26"/>
    <x v="0"/>
    <x v="7"/>
    <x v="0"/>
    <x v="7"/>
    <x v="7"/>
    <n v="2280"/>
    <x v="2"/>
    <x v="2"/>
    <x v="0"/>
    <x v="0"/>
    <x v="0"/>
    <x v="0"/>
    <x v="0"/>
    <n v="208"/>
    <n v="118435"/>
    <n v="0.98695833333333338"/>
    <x v="0"/>
    <x v="0"/>
  </r>
  <r>
    <x v="27"/>
    <x v="0"/>
    <x v="27"/>
    <x v="0"/>
    <x v="4"/>
    <x v="0"/>
    <x v="4"/>
    <x v="4"/>
    <n v="2380"/>
    <x v="3"/>
    <x v="1"/>
    <x v="0"/>
    <x v="0"/>
    <x v="0"/>
    <x v="0"/>
    <x v="0"/>
    <n v="142"/>
    <n v="118293"/>
    <n v="0.98577499999999996"/>
    <x v="0"/>
    <x v="0"/>
  </r>
  <r>
    <x v="28"/>
    <x v="0"/>
    <x v="28"/>
    <x v="0"/>
    <x v="9"/>
    <x v="0"/>
    <x v="9"/>
    <x v="9"/>
    <n v="2580"/>
    <x v="3"/>
    <x v="1"/>
    <x v="0"/>
    <x v="0"/>
    <x v="0"/>
    <x v="0"/>
    <x v="0"/>
    <n v="271"/>
    <n v="118022"/>
    <n v="0.98351666666666671"/>
    <x v="0"/>
    <x v="0"/>
  </r>
  <r>
    <x v="29"/>
    <x v="0"/>
    <x v="29"/>
    <x v="0"/>
    <x v="9"/>
    <x v="0"/>
    <x v="9"/>
    <x v="9"/>
    <n v="2780"/>
    <x v="3"/>
    <x v="1"/>
    <x v="4"/>
    <x v="0"/>
    <x v="0"/>
    <x v="0"/>
    <x v="0"/>
    <n v="83"/>
    <n v="117939"/>
    <n v="0.98282499999999995"/>
    <x v="4"/>
    <x v="4"/>
  </r>
  <r>
    <x v="30"/>
    <x v="0"/>
    <x v="30"/>
    <x v="0"/>
    <x v="10"/>
    <x v="0"/>
    <x v="10"/>
    <x v="10"/>
    <n v="3000"/>
    <x v="3"/>
    <x v="1"/>
    <x v="0"/>
    <x v="0"/>
    <x v="0"/>
    <x v="0"/>
    <x v="0"/>
    <n v="14"/>
    <n v="117925"/>
    <n v="0.98270833333333329"/>
    <x v="0"/>
    <x v="0"/>
  </r>
  <r>
    <x v="31"/>
    <x v="0"/>
    <x v="31"/>
    <x v="0"/>
    <x v="10"/>
    <x v="0"/>
    <x v="10"/>
    <x v="10"/>
    <n v="3220"/>
    <x v="3"/>
    <x v="1"/>
    <x v="0"/>
    <x v="0"/>
    <x v="0"/>
    <x v="0"/>
    <x v="0"/>
    <n v="66"/>
    <n v="117859"/>
    <n v="0.98215833333333336"/>
    <x v="0"/>
    <x v="0"/>
  </r>
  <r>
    <x v="32"/>
    <x v="0"/>
    <x v="32"/>
    <x v="0"/>
    <x v="9"/>
    <x v="0"/>
    <x v="9"/>
    <x v="9"/>
    <n v="3420"/>
    <x v="1"/>
    <x v="0"/>
    <x v="0"/>
    <x v="0"/>
    <x v="0"/>
    <x v="0"/>
    <x v="0"/>
    <n v="62"/>
    <n v="117797"/>
    <n v="0.98164166666666663"/>
    <x v="0"/>
    <x v="0"/>
  </r>
  <r>
    <x v="33"/>
    <x v="0"/>
    <x v="33"/>
    <x v="0"/>
    <x v="9"/>
    <x v="0"/>
    <x v="9"/>
    <x v="9"/>
    <n v="3620"/>
    <x v="1"/>
    <x v="0"/>
    <x v="0"/>
    <x v="0"/>
    <x v="0"/>
    <x v="0"/>
    <x v="0"/>
    <n v="158"/>
    <n v="117639"/>
    <n v="0.980325"/>
    <x v="0"/>
    <x v="0"/>
  </r>
  <r>
    <x v="34"/>
    <x v="0"/>
    <x v="34"/>
    <x v="0"/>
    <x v="11"/>
    <x v="0"/>
    <x v="11"/>
    <x v="11"/>
    <n v="3800"/>
    <x v="2"/>
    <x v="2"/>
    <x v="0"/>
    <x v="0"/>
    <x v="0"/>
    <x v="0"/>
    <x v="0"/>
    <n v="162"/>
    <n v="117477"/>
    <n v="0.97897500000000004"/>
    <x v="0"/>
    <x v="0"/>
  </r>
  <r>
    <x v="35"/>
    <x v="0"/>
    <x v="35"/>
    <x v="0"/>
    <x v="7"/>
    <x v="0"/>
    <x v="7"/>
    <x v="7"/>
    <n v="3960"/>
    <x v="4"/>
    <x v="3"/>
    <x v="0"/>
    <x v="0"/>
    <x v="0"/>
    <x v="0"/>
    <x v="0"/>
    <n v="94"/>
    <n v="117383"/>
    <n v="0.97819166666666668"/>
    <x v="0"/>
    <x v="0"/>
  </r>
  <r>
    <x v="36"/>
    <x v="0"/>
    <x v="36"/>
    <x v="0"/>
    <x v="7"/>
    <x v="0"/>
    <x v="7"/>
    <x v="7"/>
    <n v="4120"/>
    <x v="4"/>
    <x v="3"/>
    <x v="0"/>
    <x v="0"/>
    <x v="0"/>
    <x v="0"/>
    <x v="0"/>
    <n v="31"/>
    <n v="117352"/>
    <n v="0.97793333333333332"/>
    <x v="0"/>
    <x v="0"/>
  </r>
  <r>
    <x v="37"/>
    <x v="0"/>
    <x v="37"/>
    <x v="0"/>
    <x v="5"/>
    <x v="0"/>
    <x v="5"/>
    <x v="5"/>
    <n v="4240"/>
    <x v="4"/>
    <x v="3"/>
    <x v="0"/>
    <x v="0"/>
    <x v="0"/>
    <x v="0"/>
    <x v="0"/>
    <n v="436"/>
    <n v="116916"/>
    <n v="0.97430000000000005"/>
    <x v="0"/>
    <x v="0"/>
  </r>
  <r>
    <x v="38"/>
    <x v="0"/>
    <x v="38"/>
    <x v="0"/>
    <x v="5"/>
    <x v="0"/>
    <x v="5"/>
    <x v="5"/>
    <n v="4360"/>
    <x v="4"/>
    <x v="3"/>
    <x v="0"/>
    <x v="0"/>
    <x v="0"/>
    <x v="0"/>
    <x v="0"/>
    <n v="605"/>
    <n v="116311"/>
    <n v="0.96925833333333333"/>
    <x v="0"/>
    <x v="0"/>
  </r>
  <r>
    <x v="39"/>
    <x v="0"/>
    <x v="39"/>
    <x v="0"/>
    <x v="3"/>
    <x v="0"/>
    <x v="3"/>
    <x v="3"/>
    <n v="4440"/>
    <x v="2"/>
    <x v="2"/>
    <x v="0"/>
    <x v="0"/>
    <x v="0"/>
    <x v="0"/>
    <x v="0"/>
    <n v="235"/>
    <n v="116076"/>
    <n v="0.96730000000000005"/>
    <x v="0"/>
    <x v="0"/>
  </r>
  <r>
    <x v="40"/>
    <x v="0"/>
    <x v="40"/>
    <x v="0"/>
    <x v="3"/>
    <x v="0"/>
    <x v="3"/>
    <x v="3"/>
    <n v="4520"/>
    <x v="2"/>
    <x v="2"/>
    <x v="0"/>
    <x v="0"/>
    <x v="0"/>
    <x v="0"/>
    <x v="0"/>
    <n v="301"/>
    <n v="115775"/>
    <n v="0.96479166666666671"/>
    <x v="0"/>
    <x v="0"/>
  </r>
  <r>
    <x v="41"/>
    <x v="0"/>
    <x v="41"/>
    <x v="0"/>
    <x v="0"/>
    <x v="0"/>
    <x v="0"/>
    <x v="0"/>
    <n v="4540"/>
    <x v="4"/>
    <x v="3"/>
    <x v="0"/>
    <x v="0"/>
    <x v="0"/>
    <x v="0"/>
    <x v="0"/>
    <n v="257"/>
    <n v="115518"/>
    <n v="0.96265000000000001"/>
    <x v="0"/>
    <x v="0"/>
  </r>
  <r>
    <x v="42"/>
    <x v="0"/>
    <x v="42"/>
    <x v="0"/>
    <x v="2"/>
    <x v="0"/>
    <x v="2"/>
    <x v="2"/>
    <n v="4600"/>
    <x v="2"/>
    <x v="2"/>
    <x v="0"/>
    <x v="0"/>
    <x v="0"/>
    <x v="0"/>
    <x v="0"/>
    <n v="379"/>
    <n v="115139"/>
    <n v="0.95949166666666663"/>
    <x v="0"/>
    <x v="0"/>
  </r>
  <r>
    <x v="43"/>
    <x v="0"/>
    <x v="43"/>
    <x v="0"/>
    <x v="7"/>
    <x v="0"/>
    <x v="7"/>
    <x v="7"/>
    <n v="4760"/>
    <x v="4"/>
    <x v="0"/>
    <x v="0"/>
    <x v="0"/>
    <x v="0"/>
    <x v="0"/>
    <x v="0"/>
    <n v="209"/>
    <n v="114930"/>
    <n v="0.95774999999999999"/>
    <x v="0"/>
    <x v="0"/>
  </r>
  <r>
    <x v="44"/>
    <x v="0"/>
    <x v="44"/>
    <x v="0"/>
    <x v="9"/>
    <x v="0"/>
    <x v="9"/>
    <x v="9"/>
    <n v="4960"/>
    <x v="4"/>
    <x v="0"/>
    <x v="0"/>
    <x v="0"/>
    <x v="0"/>
    <x v="0"/>
    <x v="0"/>
    <n v="313"/>
    <n v="114617"/>
    <n v="0.95514166666666667"/>
    <x v="0"/>
    <x v="0"/>
  </r>
  <r>
    <x v="45"/>
    <x v="0"/>
    <x v="45"/>
    <x v="0"/>
    <x v="9"/>
    <x v="0"/>
    <x v="9"/>
    <x v="9"/>
    <n v="5160"/>
    <x v="4"/>
    <x v="3"/>
    <x v="0"/>
    <x v="0"/>
    <x v="0"/>
    <x v="0"/>
    <x v="0"/>
    <n v="689"/>
    <n v="113928"/>
    <n v="0.94940000000000002"/>
    <x v="0"/>
    <x v="0"/>
  </r>
  <r>
    <x v="46"/>
    <x v="0"/>
    <x v="46"/>
    <x v="0"/>
    <x v="12"/>
    <x v="0"/>
    <x v="12"/>
    <x v="12"/>
    <n v="5400"/>
    <x v="3"/>
    <x v="3"/>
    <x v="0"/>
    <x v="0"/>
    <x v="0"/>
    <x v="0"/>
    <x v="0"/>
    <n v="509"/>
    <n v="113419"/>
    <n v="0.94515833333333332"/>
    <x v="0"/>
    <x v="0"/>
  </r>
  <r>
    <x v="47"/>
    <x v="0"/>
    <x v="47"/>
    <x v="0"/>
    <x v="9"/>
    <x v="0"/>
    <x v="9"/>
    <x v="9"/>
    <n v="5600"/>
    <x v="2"/>
    <x v="2"/>
    <x v="0"/>
    <x v="0"/>
    <x v="0"/>
    <x v="0"/>
    <x v="0"/>
    <n v="252"/>
    <n v="113167"/>
    <n v="0.94305833333333333"/>
    <x v="0"/>
    <x v="0"/>
  </r>
  <r>
    <x v="48"/>
    <x v="0"/>
    <x v="48"/>
    <x v="0"/>
    <x v="12"/>
    <x v="0"/>
    <x v="12"/>
    <x v="12"/>
    <n v="5840"/>
    <x v="3"/>
    <x v="1"/>
    <x v="0"/>
    <x v="0"/>
    <x v="0"/>
    <x v="0"/>
    <x v="0"/>
    <n v="277"/>
    <n v="112890"/>
    <n v="0.94074999999999998"/>
    <x v="0"/>
    <x v="0"/>
  </r>
  <r>
    <x v="49"/>
    <x v="0"/>
    <x v="49"/>
    <x v="0"/>
    <x v="9"/>
    <x v="0"/>
    <x v="9"/>
    <x v="9"/>
    <n v="6040"/>
    <x v="2"/>
    <x v="2"/>
    <x v="0"/>
    <x v="0"/>
    <x v="0"/>
    <x v="0"/>
    <x v="0"/>
    <n v="492"/>
    <n v="112398"/>
    <n v="0.93664999999999998"/>
    <x v="0"/>
    <x v="0"/>
  </r>
  <r>
    <x v="50"/>
    <x v="0"/>
    <x v="50"/>
    <x v="0"/>
    <x v="13"/>
    <x v="0"/>
    <x v="13"/>
    <x v="13"/>
    <n v="6300"/>
    <x v="4"/>
    <x v="3"/>
    <x v="0"/>
    <x v="0"/>
    <x v="0"/>
    <x v="0"/>
    <x v="0"/>
    <n v="531"/>
    <n v="111867"/>
    <n v="0.93222499999999997"/>
    <x v="0"/>
    <x v="0"/>
  </r>
  <r>
    <x v="51"/>
    <x v="0"/>
    <x v="51"/>
    <x v="0"/>
    <x v="2"/>
    <x v="0"/>
    <x v="2"/>
    <x v="2"/>
    <n v="6360"/>
    <x v="5"/>
    <x v="2"/>
    <x v="0"/>
    <x v="0"/>
    <x v="0"/>
    <x v="0"/>
    <x v="0"/>
    <n v="138"/>
    <n v="111729"/>
    <n v="0.93107499999999999"/>
    <x v="0"/>
    <x v="0"/>
  </r>
  <r>
    <x v="52"/>
    <x v="0"/>
    <x v="52"/>
    <x v="0"/>
    <x v="2"/>
    <x v="0"/>
    <x v="2"/>
    <x v="2"/>
    <n v="6420"/>
    <x v="2"/>
    <x v="2"/>
    <x v="0"/>
    <x v="0"/>
    <x v="0"/>
    <x v="0"/>
    <x v="0"/>
    <n v="201"/>
    <n v="111528"/>
    <n v="0.9294"/>
    <x v="0"/>
    <x v="0"/>
  </r>
  <r>
    <x v="53"/>
    <x v="0"/>
    <x v="53"/>
    <x v="0"/>
    <x v="2"/>
    <x v="0"/>
    <x v="2"/>
    <x v="2"/>
    <n v="6480"/>
    <x v="2"/>
    <x v="2"/>
    <x v="0"/>
    <x v="0"/>
    <x v="0"/>
    <x v="0"/>
    <x v="0"/>
    <n v="122"/>
    <n v="111406"/>
    <n v="0.92838333333333334"/>
    <x v="0"/>
    <x v="0"/>
  </r>
  <r>
    <x v="54"/>
    <x v="0"/>
    <x v="54"/>
    <x v="0"/>
    <x v="4"/>
    <x v="0"/>
    <x v="4"/>
    <x v="4"/>
    <n v="6580"/>
    <x v="2"/>
    <x v="2"/>
    <x v="0"/>
    <x v="0"/>
    <x v="0"/>
    <x v="0"/>
    <x v="0"/>
    <n v="85"/>
    <n v="111321"/>
    <n v="0.92767500000000003"/>
    <x v="0"/>
    <x v="0"/>
  </r>
  <r>
    <x v="55"/>
    <x v="0"/>
    <x v="55"/>
    <x v="0"/>
    <x v="9"/>
    <x v="0"/>
    <x v="9"/>
    <x v="9"/>
    <n v="6780"/>
    <x v="2"/>
    <x v="2"/>
    <x v="5"/>
    <x v="1"/>
    <x v="0"/>
    <x v="0"/>
    <x v="0"/>
    <n v="99"/>
    <n v="111222"/>
    <n v="0.92684999999999995"/>
    <x v="5"/>
    <x v="5"/>
  </r>
  <r>
    <x v="56"/>
    <x v="0"/>
    <x v="56"/>
    <x v="0"/>
    <x v="9"/>
    <x v="0"/>
    <x v="9"/>
    <x v="9"/>
    <n v="6980"/>
    <x v="2"/>
    <x v="2"/>
    <x v="6"/>
    <x v="0"/>
    <x v="0"/>
    <x v="0"/>
    <x v="0"/>
    <n v="2"/>
    <n v="111220"/>
    <n v="0.92683333333333329"/>
    <x v="6"/>
    <x v="6"/>
  </r>
  <r>
    <x v="57"/>
    <x v="0"/>
    <x v="57"/>
    <x v="0"/>
    <x v="12"/>
    <x v="0"/>
    <x v="12"/>
    <x v="10"/>
    <n v="7200"/>
    <x v="2"/>
    <x v="2"/>
    <x v="7"/>
    <x v="0"/>
    <x v="0"/>
    <x v="0"/>
    <x v="0"/>
    <n v="34"/>
    <n v="111186"/>
    <n v="0.92654999999999998"/>
    <x v="7"/>
    <x v="7"/>
  </r>
  <r>
    <x v="58"/>
    <x v="0"/>
    <x v="58"/>
    <x v="0"/>
    <x v="12"/>
    <x v="0"/>
    <x v="12"/>
    <x v="10"/>
    <n v="7420"/>
    <x v="2"/>
    <x v="2"/>
    <x v="0"/>
    <x v="0"/>
    <x v="0"/>
    <x v="0"/>
    <x v="0"/>
    <n v="114"/>
    <n v="111072"/>
    <n v="0.92559999999999998"/>
    <x v="0"/>
    <x v="0"/>
  </r>
  <r>
    <x v="59"/>
    <x v="0"/>
    <x v="59"/>
    <x v="0"/>
    <x v="12"/>
    <x v="0"/>
    <x v="12"/>
    <x v="10"/>
    <n v="7640"/>
    <x v="2"/>
    <x v="2"/>
    <x v="0"/>
    <x v="0"/>
    <x v="0"/>
    <x v="0"/>
    <x v="0"/>
    <n v="55"/>
    <n v="111017"/>
    <n v="0.92514166666666664"/>
    <x v="0"/>
    <x v="0"/>
  </r>
  <r>
    <x v="60"/>
    <x v="0"/>
    <x v="60"/>
    <x v="0"/>
    <x v="9"/>
    <x v="0"/>
    <x v="9"/>
    <x v="10"/>
    <n v="7860"/>
    <x v="2"/>
    <x v="2"/>
    <x v="0"/>
    <x v="0"/>
    <x v="0"/>
    <x v="0"/>
    <x v="0"/>
    <n v="62"/>
    <n v="110955"/>
    <n v="0.92462500000000003"/>
    <x v="0"/>
    <x v="0"/>
  </r>
  <r>
    <x v="61"/>
    <x v="0"/>
    <x v="61"/>
    <x v="0"/>
    <x v="9"/>
    <x v="0"/>
    <x v="9"/>
    <x v="10"/>
    <n v="8080"/>
    <x v="2"/>
    <x v="2"/>
    <x v="0"/>
    <x v="0"/>
    <x v="0"/>
    <x v="0"/>
    <x v="0"/>
    <n v="66"/>
    <n v="110889"/>
    <n v="0.92407499999999998"/>
    <x v="0"/>
    <x v="0"/>
  </r>
  <r>
    <x v="62"/>
    <x v="0"/>
    <x v="62"/>
    <x v="0"/>
    <x v="9"/>
    <x v="0"/>
    <x v="9"/>
    <x v="10"/>
    <n v="8300"/>
    <x v="2"/>
    <x v="2"/>
    <x v="0"/>
    <x v="0"/>
    <x v="0"/>
    <x v="0"/>
    <x v="0"/>
    <n v="64"/>
    <n v="110825"/>
    <n v="0.92354166666666671"/>
    <x v="0"/>
    <x v="0"/>
  </r>
  <r>
    <x v="63"/>
    <x v="0"/>
    <x v="63"/>
    <x v="0"/>
    <x v="9"/>
    <x v="0"/>
    <x v="9"/>
    <x v="10"/>
    <n v="8520"/>
    <x v="2"/>
    <x v="2"/>
    <x v="0"/>
    <x v="0"/>
    <x v="0"/>
    <x v="0"/>
    <x v="0"/>
    <n v="45"/>
    <n v="110780"/>
    <n v="0.92316666666666669"/>
    <x v="0"/>
    <x v="0"/>
  </r>
  <r>
    <x v="64"/>
    <x v="0"/>
    <x v="64"/>
    <x v="0"/>
    <x v="9"/>
    <x v="0"/>
    <x v="9"/>
    <x v="10"/>
    <n v="8740"/>
    <x v="2"/>
    <x v="2"/>
    <x v="8"/>
    <x v="0"/>
    <x v="0"/>
    <x v="0"/>
    <x v="0"/>
    <n v="67"/>
    <n v="110713"/>
    <n v="0.92260833333333336"/>
    <x v="8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  <x v="0"/>
    <x v="0"/>
    <x v="0"/>
    <x v="0"/>
    <m/>
    <x v="0"/>
    <x v="0"/>
    <x v="0"/>
    <x v="0"/>
    <m/>
    <x v="0"/>
    <x v="0"/>
    <m/>
    <m/>
    <m/>
    <x v="0"/>
    <x v="0"/>
  </r>
  <r>
    <x v="1"/>
    <x v="0"/>
    <x v="1"/>
    <x v="0"/>
    <x v="0"/>
    <x v="0"/>
    <x v="0"/>
    <x v="0"/>
    <m/>
    <x v="0"/>
    <x v="0"/>
    <x v="0"/>
    <x v="0"/>
    <m/>
    <x v="0"/>
    <x v="0"/>
    <m/>
    <m/>
    <m/>
    <x v="0"/>
    <x v="0"/>
  </r>
  <r>
    <x v="2"/>
    <x v="0"/>
    <x v="2"/>
    <x v="1"/>
    <x v="1"/>
    <x v="0"/>
    <x v="1"/>
    <x v="1"/>
    <n v="40"/>
    <x v="1"/>
    <x v="1"/>
    <x v="1"/>
    <x v="1"/>
    <m/>
    <x v="0"/>
    <x v="0"/>
    <n v="10"/>
    <n v="119990"/>
    <n v="0.99991666666666668"/>
    <x v="1"/>
    <x v="1"/>
  </r>
  <r>
    <x v="3"/>
    <x v="0"/>
    <x v="3"/>
    <x v="1"/>
    <x v="1"/>
    <x v="0"/>
    <x v="1"/>
    <x v="1"/>
    <n v="80"/>
    <x v="1"/>
    <x v="1"/>
    <x v="0"/>
    <x v="1"/>
    <m/>
    <x v="0"/>
    <x v="0"/>
    <n v="20"/>
    <n v="119970"/>
    <n v="0.99975000000000003"/>
    <x v="2"/>
    <x v="0"/>
  </r>
  <r>
    <x v="4"/>
    <x v="0"/>
    <x v="4"/>
    <x v="1"/>
    <x v="1"/>
    <x v="0"/>
    <x v="1"/>
    <x v="1"/>
    <n v="120"/>
    <x v="1"/>
    <x v="1"/>
    <x v="0"/>
    <x v="1"/>
    <m/>
    <x v="0"/>
    <x v="0"/>
    <n v="10"/>
    <n v="119960"/>
    <n v="0.9996666666666667"/>
    <x v="2"/>
    <x v="0"/>
  </r>
  <r>
    <x v="5"/>
    <x v="0"/>
    <x v="5"/>
    <x v="1"/>
    <x v="2"/>
    <x v="0"/>
    <x v="2"/>
    <x v="2"/>
    <n v="180"/>
    <x v="1"/>
    <x v="1"/>
    <x v="0"/>
    <x v="1"/>
    <m/>
    <x v="0"/>
    <x v="0"/>
    <n v="48"/>
    <n v="119912"/>
    <n v="0.99926666666666664"/>
    <x v="2"/>
    <x v="0"/>
  </r>
  <r>
    <x v="6"/>
    <x v="0"/>
    <x v="6"/>
    <x v="1"/>
    <x v="2"/>
    <x v="0"/>
    <x v="2"/>
    <x v="2"/>
    <n v="240"/>
    <x v="1"/>
    <x v="1"/>
    <x v="0"/>
    <x v="1"/>
    <m/>
    <x v="0"/>
    <x v="0"/>
    <n v="190"/>
    <n v="119722"/>
    <n v="0.99768333333333337"/>
    <x v="2"/>
    <x v="0"/>
  </r>
  <r>
    <x v="7"/>
    <x v="0"/>
    <x v="7"/>
    <x v="1"/>
    <x v="2"/>
    <x v="0"/>
    <x v="2"/>
    <x v="2"/>
    <n v="300"/>
    <x v="1"/>
    <x v="1"/>
    <x v="0"/>
    <x v="1"/>
    <m/>
    <x v="0"/>
    <x v="0"/>
    <n v="145"/>
    <n v="119577"/>
    <n v="0.996475"/>
    <x v="2"/>
    <x v="0"/>
  </r>
  <r>
    <x v="8"/>
    <x v="0"/>
    <x v="8"/>
    <x v="1"/>
    <x v="2"/>
    <x v="0"/>
    <x v="2"/>
    <x v="2"/>
    <n v="360"/>
    <x v="1"/>
    <x v="1"/>
    <x v="0"/>
    <x v="1"/>
    <m/>
    <x v="0"/>
    <x v="0"/>
    <n v="150"/>
    <n v="119427"/>
    <n v="0.99522500000000003"/>
    <x v="2"/>
    <x v="0"/>
  </r>
  <r>
    <x v="9"/>
    <x v="0"/>
    <x v="9"/>
    <x v="1"/>
    <x v="2"/>
    <x v="0"/>
    <x v="2"/>
    <x v="2"/>
    <n v="420"/>
    <x v="2"/>
    <x v="1"/>
    <x v="0"/>
    <x v="1"/>
    <m/>
    <x v="0"/>
    <x v="0"/>
    <n v="55"/>
    <n v="119372"/>
    <n v="0.99476666666666669"/>
    <x v="2"/>
    <x v="0"/>
  </r>
  <r>
    <x v="10"/>
    <x v="0"/>
    <x v="10"/>
    <x v="1"/>
    <x v="2"/>
    <x v="0"/>
    <x v="2"/>
    <x v="2"/>
    <n v="480"/>
    <x v="2"/>
    <x v="1"/>
    <x v="0"/>
    <x v="1"/>
    <m/>
    <x v="0"/>
    <x v="0"/>
    <n v="55"/>
    <n v="119317"/>
    <n v="0.99430833333333335"/>
    <x v="2"/>
    <x v="0"/>
  </r>
  <r>
    <x v="11"/>
    <x v="0"/>
    <x v="11"/>
    <x v="1"/>
    <x v="2"/>
    <x v="0"/>
    <x v="2"/>
    <x v="2"/>
    <n v="540"/>
    <x v="2"/>
    <x v="1"/>
    <x v="2"/>
    <x v="2"/>
    <m/>
    <x v="0"/>
    <x v="0"/>
    <n v="36"/>
    <n v="119281"/>
    <n v="0.99400833333333338"/>
    <x v="3"/>
    <x v="2"/>
  </r>
  <r>
    <x v="12"/>
    <x v="0"/>
    <x v="12"/>
    <x v="1"/>
    <x v="3"/>
    <x v="0"/>
    <x v="3"/>
    <x v="3"/>
    <n v="620"/>
    <x v="2"/>
    <x v="1"/>
    <x v="0"/>
    <x v="2"/>
    <m/>
    <x v="0"/>
    <x v="0"/>
    <n v="30"/>
    <n v="119251"/>
    <n v="0.9937583333333333"/>
    <x v="2"/>
    <x v="0"/>
  </r>
  <r>
    <x v="13"/>
    <x v="0"/>
    <x v="13"/>
    <x v="1"/>
    <x v="3"/>
    <x v="0"/>
    <x v="3"/>
    <x v="3"/>
    <n v="700"/>
    <x v="2"/>
    <x v="1"/>
    <x v="0"/>
    <x v="2"/>
    <m/>
    <x v="0"/>
    <x v="0"/>
    <n v="18"/>
    <n v="119233"/>
    <n v="0.99360833333333332"/>
    <x v="2"/>
    <x v="0"/>
  </r>
  <r>
    <x v="14"/>
    <x v="0"/>
    <x v="14"/>
    <x v="1"/>
    <x v="3"/>
    <x v="0"/>
    <x v="3"/>
    <x v="3"/>
    <n v="780"/>
    <x v="2"/>
    <x v="1"/>
    <x v="0"/>
    <x v="2"/>
    <m/>
    <x v="0"/>
    <x v="0"/>
    <n v="0"/>
    <n v="119233"/>
    <n v="0.99360833333333332"/>
    <x v="2"/>
    <x v="0"/>
  </r>
  <r>
    <x v="15"/>
    <x v="0"/>
    <x v="15"/>
    <x v="1"/>
    <x v="3"/>
    <x v="0"/>
    <x v="3"/>
    <x v="3"/>
    <n v="860"/>
    <x v="2"/>
    <x v="1"/>
    <x v="0"/>
    <x v="2"/>
    <m/>
    <x v="0"/>
    <x v="0"/>
    <n v="36"/>
    <n v="119197"/>
    <n v="0.99330833333333335"/>
    <x v="2"/>
    <x v="0"/>
  </r>
  <r>
    <x v="16"/>
    <x v="0"/>
    <x v="16"/>
    <x v="1"/>
    <x v="3"/>
    <x v="0"/>
    <x v="3"/>
    <x v="3"/>
    <n v="940"/>
    <x v="2"/>
    <x v="1"/>
    <x v="0"/>
    <x v="2"/>
    <m/>
    <x v="0"/>
    <x v="0"/>
    <n v="30"/>
    <n v="119167"/>
    <n v="0.99305833333333338"/>
    <x v="2"/>
    <x v="0"/>
  </r>
  <r>
    <x v="17"/>
    <x v="0"/>
    <x v="17"/>
    <x v="1"/>
    <x v="3"/>
    <x v="0"/>
    <x v="3"/>
    <x v="3"/>
    <n v="1020"/>
    <x v="3"/>
    <x v="1"/>
    <x v="0"/>
    <x v="2"/>
    <m/>
    <x v="0"/>
    <x v="0"/>
    <n v="20"/>
    <n v="119147"/>
    <n v="0.99289166666666662"/>
    <x v="2"/>
    <x v="0"/>
  </r>
  <r>
    <x v="18"/>
    <x v="0"/>
    <x v="18"/>
    <x v="1"/>
    <x v="3"/>
    <x v="0"/>
    <x v="3"/>
    <x v="3"/>
    <n v="1100"/>
    <x v="3"/>
    <x v="1"/>
    <x v="0"/>
    <x v="2"/>
    <m/>
    <x v="0"/>
    <x v="0"/>
    <n v="60"/>
    <n v="119087"/>
    <n v="0.99239166666666667"/>
    <x v="2"/>
    <x v="0"/>
  </r>
  <r>
    <x v="19"/>
    <x v="0"/>
    <x v="19"/>
    <x v="1"/>
    <x v="4"/>
    <x v="0"/>
    <x v="4"/>
    <x v="4"/>
    <n v="1200"/>
    <x v="3"/>
    <x v="1"/>
    <x v="0"/>
    <x v="2"/>
    <m/>
    <x v="0"/>
    <x v="0"/>
    <n v="108"/>
    <n v="118979"/>
    <n v="0.99149166666666666"/>
    <x v="2"/>
    <x v="0"/>
  </r>
  <r>
    <x v="20"/>
    <x v="0"/>
    <x v="20"/>
    <x v="1"/>
    <x v="4"/>
    <x v="0"/>
    <x v="4"/>
    <x v="4"/>
    <n v="1300"/>
    <x v="3"/>
    <x v="1"/>
    <x v="0"/>
    <x v="2"/>
    <m/>
    <x v="0"/>
    <x v="0"/>
    <n v="78"/>
    <n v="118901"/>
    <n v="0.99084166666666662"/>
    <x v="2"/>
    <x v="0"/>
  </r>
  <r>
    <x v="21"/>
    <x v="0"/>
    <x v="21"/>
    <x v="1"/>
    <x v="4"/>
    <x v="0"/>
    <x v="4"/>
    <x v="4"/>
    <n v="1400"/>
    <x v="1"/>
    <x v="1"/>
    <x v="0"/>
    <x v="2"/>
    <m/>
    <x v="0"/>
    <x v="0"/>
    <n v="78"/>
    <n v="118823"/>
    <n v="0.99019166666666669"/>
    <x v="2"/>
    <x v="0"/>
  </r>
  <r>
    <x v="22"/>
    <x v="0"/>
    <x v="22"/>
    <x v="1"/>
    <x v="4"/>
    <x v="0"/>
    <x v="4"/>
    <x v="4"/>
    <n v="1500"/>
    <x v="1"/>
    <x v="1"/>
    <x v="3"/>
    <x v="3"/>
    <m/>
    <x v="0"/>
    <x v="0"/>
    <n v="108"/>
    <n v="118715"/>
    <n v="0.98929166666666668"/>
    <x v="4"/>
    <x v="3"/>
  </r>
  <r>
    <x v="23"/>
    <x v="0"/>
    <x v="23"/>
    <x v="1"/>
    <x v="4"/>
    <x v="0"/>
    <x v="4"/>
    <x v="4"/>
    <n v="1600"/>
    <x v="1"/>
    <x v="1"/>
    <x v="0"/>
    <x v="3"/>
    <m/>
    <x v="0"/>
    <x v="0"/>
    <n v="42"/>
    <n v="118673"/>
    <n v="0.98894166666666672"/>
    <x v="2"/>
    <x v="0"/>
  </r>
  <r>
    <x v="24"/>
    <x v="0"/>
    <x v="24"/>
    <x v="1"/>
    <x v="4"/>
    <x v="0"/>
    <x v="4"/>
    <x v="4"/>
    <n v="1700"/>
    <x v="1"/>
    <x v="1"/>
    <x v="0"/>
    <x v="3"/>
    <m/>
    <x v="0"/>
    <x v="0"/>
    <n v="48"/>
    <n v="118625"/>
    <n v="0.98854166666666665"/>
    <x v="2"/>
    <x v="0"/>
  </r>
  <r>
    <x v="25"/>
    <x v="0"/>
    <x v="25"/>
    <x v="1"/>
    <x v="4"/>
    <x v="0"/>
    <x v="4"/>
    <x v="4"/>
    <n v="1800"/>
    <x v="1"/>
    <x v="1"/>
    <x v="0"/>
    <x v="3"/>
    <m/>
    <x v="0"/>
    <x v="0"/>
    <n v="14"/>
    <n v="118611"/>
    <n v="0.988425"/>
    <x v="2"/>
    <x v="0"/>
  </r>
  <r>
    <x v="26"/>
    <x v="0"/>
    <x v="26"/>
    <x v="1"/>
    <x v="4"/>
    <x v="0"/>
    <x v="4"/>
    <x v="4"/>
    <n v="1900"/>
    <x v="1"/>
    <x v="1"/>
    <x v="0"/>
    <x v="3"/>
    <m/>
    <x v="0"/>
    <x v="0"/>
    <n v="10"/>
    <n v="118601"/>
    <n v="0.98834166666666667"/>
    <x v="2"/>
    <x v="0"/>
  </r>
  <r>
    <x v="27"/>
    <x v="0"/>
    <x v="27"/>
    <x v="1"/>
    <x v="4"/>
    <x v="0"/>
    <x v="4"/>
    <x v="4"/>
    <n v="2000"/>
    <x v="1"/>
    <x v="1"/>
    <x v="0"/>
    <x v="3"/>
    <m/>
    <x v="0"/>
    <x v="0"/>
    <n v="14"/>
    <n v="118587"/>
    <n v="0.98822500000000002"/>
    <x v="2"/>
    <x v="0"/>
  </r>
  <r>
    <x v="28"/>
    <x v="0"/>
    <x v="28"/>
    <x v="1"/>
    <x v="4"/>
    <x v="0"/>
    <x v="4"/>
    <x v="4"/>
    <n v="2100"/>
    <x v="1"/>
    <x v="1"/>
    <x v="0"/>
    <x v="3"/>
    <m/>
    <x v="0"/>
    <x v="0"/>
    <n v="32"/>
    <n v="118555"/>
    <n v="0.98795833333333338"/>
    <x v="2"/>
    <x v="0"/>
  </r>
  <r>
    <x v="29"/>
    <x v="0"/>
    <x v="29"/>
    <x v="1"/>
    <x v="4"/>
    <x v="0"/>
    <x v="4"/>
    <x v="4"/>
    <n v="2200"/>
    <x v="2"/>
    <x v="1"/>
    <x v="0"/>
    <x v="3"/>
    <m/>
    <x v="0"/>
    <x v="0"/>
    <n v="28"/>
    <n v="118527"/>
    <n v="0.98772499999999996"/>
    <x v="2"/>
    <x v="0"/>
  </r>
  <r>
    <x v="30"/>
    <x v="0"/>
    <x v="30"/>
    <x v="1"/>
    <x v="4"/>
    <x v="0"/>
    <x v="4"/>
    <x v="4"/>
    <n v="2300"/>
    <x v="2"/>
    <x v="1"/>
    <x v="0"/>
    <x v="3"/>
    <m/>
    <x v="0"/>
    <x v="0"/>
    <n v="28"/>
    <n v="118499"/>
    <n v="0.98749166666666666"/>
    <x v="2"/>
    <x v="0"/>
  </r>
  <r>
    <x v="31"/>
    <x v="0"/>
    <x v="31"/>
    <x v="1"/>
    <x v="5"/>
    <x v="0"/>
    <x v="5"/>
    <x v="5"/>
    <n v="2420"/>
    <x v="2"/>
    <x v="1"/>
    <x v="0"/>
    <x v="3"/>
    <m/>
    <x v="0"/>
    <x v="0"/>
    <n v="28"/>
    <n v="118471"/>
    <n v="0.98725833333333335"/>
    <x v="2"/>
    <x v="0"/>
  </r>
  <r>
    <x v="32"/>
    <x v="0"/>
    <x v="32"/>
    <x v="1"/>
    <x v="5"/>
    <x v="0"/>
    <x v="5"/>
    <x v="5"/>
    <n v="2540"/>
    <x v="2"/>
    <x v="1"/>
    <x v="0"/>
    <x v="3"/>
    <m/>
    <x v="0"/>
    <x v="0"/>
    <n v="28"/>
    <n v="118443"/>
    <n v="0.98702500000000004"/>
    <x v="2"/>
    <x v="0"/>
  </r>
  <r>
    <x v="33"/>
    <x v="0"/>
    <x v="33"/>
    <x v="1"/>
    <x v="5"/>
    <x v="0"/>
    <x v="5"/>
    <x v="5"/>
    <n v="2660"/>
    <x v="2"/>
    <x v="1"/>
    <x v="4"/>
    <x v="4"/>
    <m/>
    <x v="0"/>
    <x v="0"/>
    <n v="28"/>
    <n v="118415"/>
    <n v="0.98679166666666662"/>
    <x v="5"/>
    <x v="4"/>
  </r>
  <r>
    <x v="34"/>
    <x v="0"/>
    <x v="34"/>
    <x v="1"/>
    <x v="5"/>
    <x v="0"/>
    <x v="5"/>
    <x v="5"/>
    <n v="2780"/>
    <x v="2"/>
    <x v="1"/>
    <x v="0"/>
    <x v="0"/>
    <m/>
    <x v="0"/>
    <x v="0"/>
    <n v="58"/>
    <n v="118357"/>
    <n v="0.98630833333333334"/>
    <x v="2"/>
    <x v="0"/>
  </r>
  <r>
    <x v="35"/>
    <x v="0"/>
    <x v="35"/>
    <x v="1"/>
    <x v="5"/>
    <x v="0"/>
    <x v="5"/>
    <x v="5"/>
    <n v="2900"/>
    <x v="2"/>
    <x v="1"/>
    <x v="0"/>
    <x v="0"/>
    <m/>
    <x v="0"/>
    <x v="0"/>
    <n v="36"/>
    <n v="118321"/>
    <n v="0.98600833333333338"/>
    <x v="2"/>
    <x v="0"/>
  </r>
  <r>
    <x v="36"/>
    <x v="0"/>
    <x v="36"/>
    <x v="1"/>
    <x v="5"/>
    <x v="0"/>
    <x v="5"/>
    <x v="5"/>
    <n v="3020"/>
    <x v="2"/>
    <x v="1"/>
    <x v="0"/>
    <x v="0"/>
    <m/>
    <x v="0"/>
    <x v="0"/>
    <n v="38"/>
    <n v="118283"/>
    <n v="0.98569166666666663"/>
    <x v="2"/>
    <x v="0"/>
  </r>
  <r>
    <x v="37"/>
    <x v="0"/>
    <x v="37"/>
    <x v="1"/>
    <x v="6"/>
    <x v="0"/>
    <x v="6"/>
    <x v="6"/>
    <n v="3160"/>
    <x v="3"/>
    <x v="1"/>
    <x v="0"/>
    <x v="0"/>
    <m/>
    <x v="0"/>
    <x v="0"/>
    <n v="84"/>
    <n v="118199"/>
    <n v="0.98499166666666671"/>
    <x v="2"/>
    <x v="0"/>
  </r>
  <r>
    <x v="38"/>
    <x v="0"/>
    <x v="38"/>
    <x v="1"/>
    <x v="6"/>
    <x v="0"/>
    <x v="6"/>
    <x v="6"/>
    <n v="3300"/>
    <x v="3"/>
    <x v="1"/>
    <x v="0"/>
    <x v="0"/>
    <m/>
    <x v="0"/>
    <x v="0"/>
    <n v="10"/>
    <n v="118189"/>
    <n v="0.98490833333333339"/>
    <x v="2"/>
    <x v="0"/>
  </r>
  <r>
    <x v="39"/>
    <x v="0"/>
    <x v="39"/>
    <x v="1"/>
    <x v="6"/>
    <x v="0"/>
    <x v="6"/>
    <x v="6"/>
    <n v="3440"/>
    <x v="3"/>
    <x v="1"/>
    <x v="0"/>
    <x v="0"/>
    <m/>
    <x v="0"/>
    <x v="0"/>
    <n v="58"/>
    <n v="118131"/>
    <n v="0.98442499999999999"/>
    <x v="2"/>
    <x v="0"/>
  </r>
  <r>
    <x v="40"/>
    <x v="0"/>
    <x v="40"/>
    <x v="1"/>
    <x v="7"/>
    <x v="0"/>
    <x v="7"/>
    <x v="7"/>
    <n v="3600"/>
    <x v="3"/>
    <x v="1"/>
    <x v="0"/>
    <x v="0"/>
    <m/>
    <x v="0"/>
    <x v="0"/>
    <n v="70"/>
    <n v="118061"/>
    <n v="0.98384166666666661"/>
    <x v="2"/>
    <x v="0"/>
  </r>
  <r>
    <x v="41"/>
    <x v="0"/>
    <x v="41"/>
    <x v="1"/>
    <x v="3"/>
    <x v="1"/>
    <x v="7"/>
    <x v="7"/>
    <n v="3760"/>
    <x v="1"/>
    <x v="1"/>
    <x v="0"/>
    <x v="0"/>
    <m/>
    <x v="0"/>
    <x v="0"/>
    <n v="137"/>
    <n v="117924"/>
    <n v="0.98270000000000002"/>
    <x v="2"/>
    <x v="0"/>
  </r>
  <r>
    <x v="42"/>
    <x v="0"/>
    <x v="42"/>
    <x v="1"/>
    <x v="3"/>
    <x v="1"/>
    <x v="7"/>
    <x v="7"/>
    <n v="3920"/>
    <x v="1"/>
    <x v="1"/>
    <x v="0"/>
    <x v="0"/>
    <m/>
    <x v="0"/>
    <x v="0"/>
    <n v="74"/>
    <n v="117850"/>
    <n v="0.98208333333333331"/>
    <x v="2"/>
    <x v="0"/>
  </r>
  <r>
    <x v="43"/>
    <x v="0"/>
    <x v="43"/>
    <x v="1"/>
    <x v="3"/>
    <x v="1"/>
    <x v="7"/>
    <x v="7"/>
    <n v="4080"/>
    <x v="3"/>
    <x v="2"/>
    <x v="5"/>
    <x v="0"/>
    <m/>
    <x v="0"/>
    <x v="0"/>
    <n v="123"/>
    <n v="117727"/>
    <n v="0.98105833333333337"/>
    <x v="6"/>
    <x v="5"/>
  </r>
  <r>
    <x v="44"/>
    <x v="0"/>
    <x v="44"/>
    <x v="1"/>
    <x v="2"/>
    <x v="2"/>
    <x v="5"/>
    <x v="5"/>
    <n v="4200"/>
    <x v="3"/>
    <x v="2"/>
    <x v="0"/>
    <x v="0"/>
    <m/>
    <x v="0"/>
    <x v="0"/>
    <n v="96"/>
    <n v="117631"/>
    <n v="0.98025833333333334"/>
    <x v="2"/>
    <x v="0"/>
  </r>
  <r>
    <x v="45"/>
    <x v="0"/>
    <x v="45"/>
    <x v="1"/>
    <x v="2"/>
    <x v="3"/>
    <x v="4"/>
    <x v="4"/>
    <n v="4300"/>
    <x v="3"/>
    <x v="2"/>
    <x v="0"/>
    <x v="0"/>
    <m/>
    <x v="0"/>
    <x v="0"/>
    <n v="195"/>
    <n v="117436"/>
    <n v="0.97863333333333336"/>
    <x v="2"/>
    <x v="0"/>
  </r>
  <r>
    <x v="46"/>
    <x v="0"/>
    <x v="46"/>
    <x v="1"/>
    <x v="2"/>
    <x v="2"/>
    <x v="5"/>
    <x v="5"/>
    <n v="4420"/>
    <x v="0"/>
    <x v="0"/>
    <x v="0"/>
    <x v="0"/>
    <m/>
    <x v="0"/>
    <x v="0"/>
    <n v="27"/>
    <n v="117409"/>
    <n v="0.97840833333333332"/>
    <x v="2"/>
    <x v="0"/>
  </r>
  <r>
    <x v="47"/>
    <x v="0"/>
    <x v="47"/>
    <x v="1"/>
    <x v="2"/>
    <x v="2"/>
    <x v="5"/>
    <x v="5"/>
    <n v="4540"/>
    <x v="0"/>
    <x v="0"/>
    <x v="0"/>
    <x v="0"/>
    <m/>
    <x v="0"/>
    <x v="0"/>
    <n v="35"/>
    <n v="117374"/>
    <n v="0.97811666666666663"/>
    <x v="2"/>
    <x v="0"/>
  </r>
  <r>
    <x v="48"/>
    <x v="0"/>
    <x v="48"/>
    <x v="1"/>
    <x v="2"/>
    <x v="2"/>
    <x v="5"/>
    <x v="5"/>
    <n v="4660"/>
    <x v="0"/>
    <x v="0"/>
    <x v="0"/>
    <x v="0"/>
    <m/>
    <x v="0"/>
    <x v="0"/>
    <n v="72"/>
    <n v="117302"/>
    <n v="0.9775166666666667"/>
    <x v="2"/>
    <x v="0"/>
  </r>
  <r>
    <x v="49"/>
    <x v="0"/>
    <x v="49"/>
    <x v="1"/>
    <x v="2"/>
    <x v="2"/>
    <x v="5"/>
    <x v="5"/>
    <n v="4780"/>
    <x v="0"/>
    <x v="0"/>
    <x v="0"/>
    <x v="0"/>
    <n v="23"/>
    <x v="1"/>
    <x v="1"/>
    <n v="69"/>
    <n v="117233"/>
    <n v="0.97694166666666671"/>
    <x v="2"/>
    <x v="0"/>
  </r>
  <r>
    <x v="50"/>
    <x v="0"/>
    <x v="50"/>
    <x v="1"/>
    <x v="2"/>
    <x v="2"/>
    <x v="5"/>
    <x v="5"/>
    <n v="4900"/>
    <x v="0"/>
    <x v="0"/>
    <x v="0"/>
    <x v="0"/>
    <n v="30"/>
    <x v="2"/>
    <x v="2"/>
    <n v="73"/>
    <n v="117160"/>
    <n v="0.97633333333333339"/>
    <x v="2"/>
    <x v="0"/>
  </r>
  <r>
    <x v="51"/>
    <x v="0"/>
    <x v="51"/>
    <x v="1"/>
    <x v="3"/>
    <x v="2"/>
    <x v="6"/>
    <x v="6"/>
    <n v="5040"/>
    <x v="0"/>
    <x v="0"/>
    <x v="0"/>
    <x v="0"/>
    <n v="26"/>
    <x v="3"/>
    <x v="0"/>
    <n v="38"/>
    <n v="117122"/>
    <n v="0.97601666666666664"/>
    <x v="2"/>
    <x v="0"/>
  </r>
  <r>
    <x v="52"/>
    <x v="0"/>
    <x v="52"/>
    <x v="1"/>
    <x v="2"/>
    <x v="2"/>
    <x v="5"/>
    <x v="5"/>
    <n v="5160"/>
    <x v="0"/>
    <x v="0"/>
    <x v="0"/>
    <x v="0"/>
    <n v="62"/>
    <x v="4"/>
    <x v="3"/>
    <n v="104"/>
    <n v="117018"/>
    <n v="0.97514999999999996"/>
    <x v="2"/>
    <x v="0"/>
  </r>
  <r>
    <x v="53"/>
    <x v="0"/>
    <x v="53"/>
    <x v="1"/>
    <x v="3"/>
    <x v="2"/>
    <x v="6"/>
    <x v="6"/>
    <n v="5300"/>
    <x v="4"/>
    <x v="2"/>
    <x v="6"/>
    <x v="0"/>
    <n v="55"/>
    <x v="2"/>
    <x v="3"/>
    <n v="110"/>
    <n v="116908"/>
    <n v="0.97423333333333328"/>
    <x v="7"/>
    <x v="6"/>
  </r>
  <r>
    <x v="54"/>
    <x v="0"/>
    <x v="54"/>
    <x v="1"/>
    <x v="4"/>
    <x v="2"/>
    <x v="7"/>
    <x v="7"/>
    <n v="5460"/>
    <x v="4"/>
    <x v="2"/>
    <x v="0"/>
    <x v="0"/>
    <n v="102"/>
    <x v="5"/>
    <x v="4"/>
    <n v="136"/>
    <n v="116772"/>
    <n v="0.97309999999999997"/>
    <x v="2"/>
    <x v="0"/>
  </r>
  <r>
    <x v="55"/>
    <x v="0"/>
    <x v="55"/>
    <x v="1"/>
    <x v="6"/>
    <x v="3"/>
    <x v="8"/>
    <x v="8"/>
    <n v="5640"/>
    <x v="4"/>
    <x v="2"/>
    <x v="0"/>
    <x v="0"/>
    <n v="82"/>
    <x v="6"/>
    <x v="0"/>
    <n v="108"/>
    <n v="116664"/>
    <n v="0.97219999999999995"/>
    <x v="2"/>
    <x v="0"/>
  </r>
  <r>
    <x v="56"/>
    <x v="0"/>
    <x v="56"/>
    <x v="1"/>
    <x v="5"/>
    <x v="2"/>
    <x v="8"/>
    <x v="8"/>
    <n v="5820"/>
    <x v="4"/>
    <x v="2"/>
    <x v="0"/>
    <x v="0"/>
    <n v="27"/>
    <x v="7"/>
    <x v="5"/>
    <n v="79"/>
    <n v="116585"/>
    <n v="0.97154166666666664"/>
    <x v="2"/>
    <x v="0"/>
  </r>
  <r>
    <x v="57"/>
    <x v="0"/>
    <x v="57"/>
    <x v="1"/>
    <x v="7"/>
    <x v="3"/>
    <x v="9"/>
    <x v="9"/>
    <n v="6020"/>
    <x v="4"/>
    <x v="2"/>
    <x v="0"/>
    <x v="0"/>
    <n v="24"/>
    <x v="2"/>
    <x v="2"/>
    <n v="67"/>
    <n v="116518"/>
    <n v="0.97098333333333331"/>
    <x v="2"/>
    <x v="0"/>
  </r>
  <r>
    <x v="58"/>
    <x v="0"/>
    <x v="58"/>
    <x v="1"/>
    <x v="7"/>
    <x v="2"/>
    <x v="10"/>
    <x v="10"/>
    <n v="6240"/>
    <x v="0"/>
    <x v="0"/>
    <x v="0"/>
    <x v="0"/>
    <n v="77"/>
    <x v="8"/>
    <x v="6"/>
    <n v="85"/>
    <n v="116433"/>
    <n v="0.970275"/>
    <x v="2"/>
    <x v="0"/>
  </r>
  <r>
    <x v="59"/>
    <x v="0"/>
    <x v="59"/>
    <x v="1"/>
    <x v="7"/>
    <x v="2"/>
    <x v="10"/>
    <x v="10"/>
    <n v="6460"/>
    <x v="0"/>
    <x v="0"/>
    <x v="0"/>
    <x v="0"/>
    <n v="27"/>
    <x v="9"/>
    <x v="0"/>
    <n v="42"/>
    <n v="116391"/>
    <n v="0.96992500000000004"/>
    <x v="2"/>
    <x v="0"/>
  </r>
  <r>
    <x v="60"/>
    <x v="0"/>
    <x v="60"/>
    <x v="1"/>
    <x v="5"/>
    <x v="1"/>
    <x v="9"/>
    <x v="9"/>
    <n v="6660"/>
    <x v="3"/>
    <x v="2"/>
    <x v="0"/>
    <x v="0"/>
    <n v="59"/>
    <x v="10"/>
    <x v="7"/>
    <n v="139"/>
    <n v="116252"/>
    <n v="0.96876666666666666"/>
    <x v="2"/>
    <x v="0"/>
  </r>
  <r>
    <x v="61"/>
    <x v="0"/>
    <x v="61"/>
    <x v="1"/>
    <x v="4"/>
    <x v="2"/>
    <x v="7"/>
    <x v="7"/>
    <n v="6820"/>
    <x v="2"/>
    <x v="3"/>
    <x v="0"/>
    <x v="0"/>
    <n v="132"/>
    <x v="11"/>
    <x v="8"/>
    <n v="222"/>
    <n v="116030"/>
    <n v="0.96691666666666665"/>
    <x v="2"/>
    <x v="0"/>
  </r>
  <r>
    <x v="62"/>
    <x v="0"/>
    <x v="62"/>
    <x v="1"/>
    <x v="5"/>
    <x v="4"/>
    <x v="11"/>
    <x v="11"/>
    <n v="7060"/>
    <x v="2"/>
    <x v="3"/>
    <x v="0"/>
    <x v="0"/>
    <n v="86"/>
    <x v="0"/>
    <x v="0"/>
    <n v="86"/>
    <n v="115944"/>
    <n v="0.96619999999999995"/>
    <x v="2"/>
    <x v="0"/>
  </r>
  <r>
    <x v="63"/>
    <x v="0"/>
    <x v="63"/>
    <x v="1"/>
    <x v="3"/>
    <x v="5"/>
    <x v="12"/>
    <x v="12"/>
    <n v="7320"/>
    <x v="2"/>
    <x v="3"/>
    <x v="7"/>
    <x v="5"/>
    <n v="101"/>
    <x v="0"/>
    <x v="0"/>
    <n v="101"/>
    <n v="115843"/>
    <n v="0.96535833333333332"/>
    <x v="8"/>
    <x v="7"/>
  </r>
  <r>
    <x v="64"/>
    <x v="0"/>
    <x v="64"/>
    <x v="1"/>
    <x v="3"/>
    <x v="6"/>
    <x v="13"/>
    <x v="13"/>
    <n v="7600"/>
    <x v="4"/>
    <x v="1"/>
    <x v="0"/>
    <x v="5"/>
    <n v="89"/>
    <x v="12"/>
    <x v="0"/>
    <n v="211"/>
    <n v="115632"/>
    <n v="0.96360000000000001"/>
    <x v="2"/>
    <x v="0"/>
  </r>
  <r>
    <x v="65"/>
    <x v="0"/>
    <x v="65"/>
    <x v="1"/>
    <x v="3"/>
    <x v="6"/>
    <x v="13"/>
    <x v="13"/>
    <n v="7880"/>
    <x v="4"/>
    <x v="1"/>
    <x v="0"/>
    <x v="5"/>
    <n v="328"/>
    <x v="0"/>
    <x v="0"/>
    <n v="328"/>
    <n v="115304"/>
    <n v="0.96086666666666665"/>
    <x v="2"/>
    <x v="0"/>
  </r>
  <r>
    <x v="66"/>
    <x v="0"/>
    <x v="66"/>
    <x v="1"/>
    <x v="0"/>
    <x v="7"/>
    <x v="7"/>
    <x v="7"/>
    <n v="8040"/>
    <x v="4"/>
    <x v="1"/>
    <x v="0"/>
    <x v="5"/>
    <n v="198"/>
    <x v="0"/>
    <x v="0"/>
    <n v="198"/>
    <n v="115106"/>
    <n v="0.95921666666666672"/>
    <x v="2"/>
    <x v="0"/>
  </r>
  <r>
    <x v="67"/>
    <x v="0"/>
    <x v="67"/>
    <x v="1"/>
    <x v="0"/>
    <x v="8"/>
    <x v="14"/>
    <x v="14"/>
    <n v="8360"/>
    <x v="4"/>
    <x v="1"/>
    <x v="0"/>
    <x v="5"/>
    <n v="140"/>
    <x v="0"/>
    <x v="0"/>
    <n v="140"/>
    <n v="114966"/>
    <n v="0.95804999999999996"/>
    <x v="2"/>
    <x v="0"/>
  </r>
  <r>
    <x v="68"/>
    <x v="0"/>
    <x v="68"/>
    <x v="1"/>
    <x v="0"/>
    <x v="8"/>
    <x v="14"/>
    <x v="14"/>
    <n v="8680"/>
    <x v="4"/>
    <x v="1"/>
    <x v="0"/>
    <x v="5"/>
    <n v="21"/>
    <x v="0"/>
    <x v="0"/>
    <n v="21"/>
    <n v="114945"/>
    <n v="0.95787500000000003"/>
    <x v="2"/>
    <x v="0"/>
  </r>
  <r>
    <x v="69"/>
    <x v="0"/>
    <x v="69"/>
    <x v="1"/>
    <x v="0"/>
    <x v="9"/>
    <x v="15"/>
    <x v="15"/>
    <n v="9020"/>
    <x v="4"/>
    <x v="1"/>
    <x v="0"/>
    <x v="5"/>
    <n v="106"/>
    <x v="0"/>
    <x v="0"/>
    <n v="106"/>
    <n v="114839"/>
    <n v="0.95699166666666668"/>
    <x v="2"/>
    <x v="0"/>
  </r>
  <r>
    <x v="70"/>
    <x v="0"/>
    <x v="70"/>
    <x v="1"/>
    <x v="0"/>
    <x v="10"/>
    <x v="13"/>
    <x v="13"/>
    <n v="9300"/>
    <x v="4"/>
    <x v="1"/>
    <x v="0"/>
    <x v="5"/>
    <n v="152"/>
    <x v="0"/>
    <x v="0"/>
    <n v="152"/>
    <n v="114687"/>
    <n v="0.95572500000000005"/>
    <x v="2"/>
    <x v="0"/>
  </r>
  <r>
    <x v="71"/>
    <x v="0"/>
    <x v="71"/>
    <x v="1"/>
    <x v="0"/>
    <x v="11"/>
    <x v="11"/>
    <x v="11"/>
    <n v="9540"/>
    <x v="3"/>
    <x v="2"/>
    <x v="0"/>
    <x v="5"/>
    <n v="121"/>
    <x v="0"/>
    <x v="0"/>
    <n v="121"/>
    <n v="114566"/>
    <n v="0.95471666666666666"/>
    <x v="2"/>
    <x v="0"/>
  </r>
  <r>
    <x v="72"/>
    <x v="0"/>
    <x v="72"/>
    <x v="1"/>
    <x v="0"/>
    <x v="11"/>
    <x v="11"/>
    <x v="11"/>
    <n v="9780"/>
    <x v="3"/>
    <x v="2"/>
    <x v="0"/>
    <x v="5"/>
    <n v="91"/>
    <x v="0"/>
    <x v="0"/>
    <n v="91"/>
    <n v="114475"/>
    <n v="0.95395833333333335"/>
    <x v="2"/>
    <x v="0"/>
  </r>
  <r>
    <x v="73"/>
    <x v="0"/>
    <x v="73"/>
    <x v="1"/>
    <x v="0"/>
    <x v="12"/>
    <x v="10"/>
    <x v="10"/>
    <n v="10000"/>
    <x v="3"/>
    <x v="2"/>
    <x v="0"/>
    <x v="5"/>
    <n v="91"/>
    <x v="0"/>
    <x v="0"/>
    <n v="91"/>
    <n v="114384"/>
    <n v="0.95320000000000005"/>
    <x v="2"/>
    <x v="0"/>
  </r>
  <r>
    <x v="74"/>
    <x v="0"/>
    <x v="74"/>
    <x v="1"/>
    <x v="0"/>
    <x v="6"/>
    <x v="9"/>
    <x v="9"/>
    <n v="10200"/>
    <x v="5"/>
    <x v="4"/>
    <x v="0"/>
    <x v="5"/>
    <n v="78"/>
    <x v="0"/>
    <x v="0"/>
    <n v="78"/>
    <n v="114306"/>
    <n v="0.95255000000000001"/>
    <x v="2"/>
    <x v="0"/>
  </r>
  <r>
    <x v="75"/>
    <x v="0"/>
    <x v="75"/>
    <x v="1"/>
    <x v="0"/>
    <x v="6"/>
    <x v="9"/>
    <x v="9"/>
    <n v="10400"/>
    <x v="5"/>
    <x v="4"/>
    <x v="0"/>
    <x v="5"/>
    <n v="77"/>
    <x v="0"/>
    <x v="0"/>
    <n v="77"/>
    <n v="114229"/>
    <n v="0.95190833333333336"/>
    <x v="2"/>
    <x v="0"/>
  </r>
  <r>
    <x v="76"/>
    <x v="0"/>
    <x v="76"/>
    <x v="1"/>
    <x v="0"/>
    <x v="7"/>
    <x v="7"/>
    <x v="7"/>
    <n v="10560"/>
    <x v="5"/>
    <x v="4"/>
    <x v="0"/>
    <x v="5"/>
    <n v="98"/>
    <x v="0"/>
    <x v="0"/>
    <n v="98"/>
    <n v="114131"/>
    <n v="0.95109166666666667"/>
    <x v="2"/>
    <x v="0"/>
  </r>
  <r>
    <x v="77"/>
    <x v="0"/>
    <x v="77"/>
    <x v="1"/>
    <x v="4"/>
    <x v="2"/>
    <x v="7"/>
    <x v="7"/>
    <n v="10720"/>
    <x v="5"/>
    <x v="4"/>
    <x v="0"/>
    <x v="5"/>
    <n v="44"/>
    <x v="0"/>
    <x v="0"/>
    <n v="44"/>
    <n v="114087"/>
    <n v="0.95072500000000004"/>
    <x v="2"/>
    <x v="0"/>
  </r>
  <r>
    <x v="78"/>
    <x v="0"/>
    <x v="78"/>
    <x v="1"/>
    <x v="5"/>
    <x v="1"/>
    <x v="9"/>
    <x v="9"/>
    <n v="10920"/>
    <x v="0"/>
    <x v="0"/>
    <x v="0"/>
    <x v="5"/>
    <n v="52"/>
    <x v="0"/>
    <x v="0"/>
    <n v="52"/>
    <n v="114035"/>
    <n v="0.95029166666666665"/>
    <x v="2"/>
    <x v="0"/>
  </r>
  <r>
    <x v="79"/>
    <x v="0"/>
    <x v="79"/>
    <x v="1"/>
    <x v="3"/>
    <x v="0"/>
    <x v="3"/>
    <x v="3"/>
    <n v="11000"/>
    <x v="5"/>
    <x v="4"/>
    <x v="0"/>
    <x v="5"/>
    <n v="23"/>
    <x v="0"/>
    <x v="0"/>
    <n v="23"/>
    <n v="114012"/>
    <n v="0.95009999999999994"/>
    <x v="2"/>
    <x v="0"/>
  </r>
  <r>
    <x v="80"/>
    <x v="0"/>
    <x v="80"/>
    <x v="1"/>
    <x v="8"/>
    <x v="0"/>
    <x v="16"/>
    <x v="16"/>
    <n v="11020"/>
    <x v="5"/>
    <x v="4"/>
    <x v="0"/>
    <x v="5"/>
    <n v="15"/>
    <x v="0"/>
    <x v="0"/>
    <n v="15"/>
    <n v="113997"/>
    <n v="0.94997500000000001"/>
    <x v="2"/>
    <x v="0"/>
  </r>
  <r>
    <x v="81"/>
    <x v="0"/>
    <x v="81"/>
    <x v="1"/>
    <x v="0"/>
    <x v="2"/>
    <x v="2"/>
    <x v="2"/>
    <n v="11080"/>
    <x v="5"/>
    <x v="0"/>
    <x v="0"/>
    <x v="5"/>
    <n v="3"/>
    <x v="0"/>
    <x v="0"/>
    <n v="3"/>
    <n v="113994"/>
    <n v="0.94994999999999996"/>
    <x v="2"/>
    <x v="0"/>
  </r>
  <r>
    <x v="82"/>
    <x v="0"/>
    <x v="82"/>
    <x v="1"/>
    <x v="0"/>
    <x v="6"/>
    <x v="9"/>
    <x v="9"/>
    <n v="11280"/>
    <x v="5"/>
    <x v="2"/>
    <x v="0"/>
    <x v="5"/>
    <n v="14"/>
    <x v="0"/>
    <x v="0"/>
    <n v="14"/>
    <n v="113980"/>
    <n v="0.94983333333333331"/>
    <x v="2"/>
    <x v="0"/>
  </r>
  <r>
    <x v="83"/>
    <x v="0"/>
    <x v="83"/>
    <x v="1"/>
    <x v="0"/>
    <x v="11"/>
    <x v="11"/>
    <x v="11"/>
    <n v="11520"/>
    <x v="5"/>
    <x v="2"/>
    <x v="0"/>
    <x v="5"/>
    <n v="17"/>
    <x v="0"/>
    <x v="0"/>
    <n v="17"/>
    <n v="113963"/>
    <n v="0.94969166666666671"/>
    <x v="2"/>
    <x v="0"/>
  </r>
  <r>
    <x v="84"/>
    <x v="0"/>
    <x v="84"/>
    <x v="1"/>
    <x v="0"/>
    <x v="11"/>
    <x v="11"/>
    <x v="11"/>
    <n v="11760"/>
    <x v="5"/>
    <x v="4"/>
    <x v="0"/>
    <x v="5"/>
    <n v="36"/>
    <x v="0"/>
    <x v="0"/>
    <n v="36"/>
    <n v="113927"/>
    <n v="0.94939166666666663"/>
    <x v="2"/>
    <x v="0"/>
  </r>
  <r>
    <x v="85"/>
    <x v="0"/>
    <x v="85"/>
    <x v="1"/>
    <x v="0"/>
    <x v="10"/>
    <x v="13"/>
    <x v="13"/>
    <n v="12040"/>
    <x v="5"/>
    <x v="1"/>
    <x v="0"/>
    <x v="5"/>
    <n v="58"/>
    <x v="0"/>
    <x v="0"/>
    <n v="58"/>
    <n v="113869"/>
    <n v="0.94890833333333335"/>
    <x v="2"/>
    <x v="0"/>
  </r>
  <r>
    <x v="86"/>
    <x v="0"/>
    <x v="86"/>
    <x v="1"/>
    <x v="0"/>
    <x v="11"/>
    <x v="11"/>
    <x v="11"/>
    <n v="12280"/>
    <x v="5"/>
    <x v="0"/>
    <x v="0"/>
    <x v="5"/>
    <n v="31"/>
    <x v="0"/>
    <x v="0"/>
    <n v="31"/>
    <n v="113838"/>
    <n v="0.94864999999999999"/>
    <x v="2"/>
    <x v="0"/>
  </r>
  <r>
    <x v="87"/>
    <x v="0"/>
    <x v="87"/>
    <x v="1"/>
    <x v="0"/>
    <x v="10"/>
    <x v="13"/>
    <x v="13"/>
    <n v="12560"/>
    <x v="5"/>
    <x v="1"/>
    <x v="0"/>
    <x v="5"/>
    <n v="24"/>
    <x v="0"/>
    <x v="0"/>
    <n v="24"/>
    <n v="113814"/>
    <n v="0.94845000000000002"/>
    <x v="2"/>
    <x v="0"/>
  </r>
  <r>
    <x v="88"/>
    <x v="0"/>
    <x v="88"/>
    <x v="1"/>
    <x v="0"/>
    <x v="11"/>
    <x v="11"/>
    <x v="11"/>
    <n v="12800"/>
    <x v="5"/>
    <x v="0"/>
    <x v="0"/>
    <x v="5"/>
    <n v="45"/>
    <x v="0"/>
    <x v="0"/>
    <n v="45"/>
    <n v="113769"/>
    <n v="0.948075"/>
    <x v="2"/>
    <x v="0"/>
  </r>
  <r>
    <x v="89"/>
    <x v="0"/>
    <x v="89"/>
    <x v="1"/>
    <x v="0"/>
    <x v="13"/>
    <x v="17"/>
    <x v="17"/>
    <n v="13100"/>
    <x v="5"/>
    <x v="0"/>
    <x v="0"/>
    <x v="5"/>
    <n v="31"/>
    <x v="0"/>
    <x v="0"/>
    <n v="31"/>
    <n v="113738"/>
    <n v="0.94781666666666664"/>
    <x v="2"/>
    <x v="0"/>
  </r>
  <r>
    <x v="90"/>
    <x v="0"/>
    <x v="90"/>
    <x v="1"/>
    <x v="0"/>
    <x v="8"/>
    <x v="14"/>
    <x v="14"/>
    <n v="13420"/>
    <x v="5"/>
    <x v="1"/>
    <x v="0"/>
    <x v="5"/>
    <n v="15"/>
    <x v="0"/>
    <x v="0"/>
    <n v="15"/>
    <n v="113723"/>
    <n v="0.94769166666666671"/>
    <x v="2"/>
    <x v="0"/>
  </r>
  <r>
    <x v="91"/>
    <x v="0"/>
    <x v="91"/>
    <x v="1"/>
    <x v="0"/>
    <x v="8"/>
    <x v="14"/>
    <x v="14"/>
    <n v="13740"/>
    <x v="5"/>
    <x v="1"/>
    <x v="0"/>
    <x v="5"/>
    <n v="43"/>
    <x v="0"/>
    <x v="0"/>
    <n v="43"/>
    <n v="113680"/>
    <n v="0.94733333333333336"/>
    <x v="2"/>
    <x v="0"/>
  </r>
  <r>
    <x v="92"/>
    <x v="0"/>
    <x v="92"/>
    <x v="1"/>
    <x v="0"/>
    <x v="8"/>
    <x v="14"/>
    <x v="14"/>
    <n v="14060"/>
    <x v="5"/>
    <x v="0"/>
    <x v="0"/>
    <x v="5"/>
    <n v="51"/>
    <x v="0"/>
    <x v="0"/>
    <n v="51"/>
    <n v="113629"/>
    <n v="0.94690833333333335"/>
    <x v="2"/>
    <x v="0"/>
  </r>
  <r>
    <x v="93"/>
    <x v="0"/>
    <x v="93"/>
    <x v="1"/>
    <x v="0"/>
    <x v="14"/>
    <x v="18"/>
    <x v="18"/>
    <n v="14420"/>
    <x v="5"/>
    <x v="0"/>
    <x v="0"/>
    <x v="5"/>
    <n v="36"/>
    <x v="0"/>
    <x v="0"/>
    <n v="36"/>
    <n v="113593"/>
    <n v="0.94660833333333338"/>
    <x v="2"/>
    <x v="0"/>
  </r>
  <r>
    <x v="94"/>
    <x v="0"/>
    <x v="94"/>
    <x v="1"/>
    <x v="0"/>
    <x v="15"/>
    <x v="19"/>
    <x v="19"/>
    <n v="14820"/>
    <x v="5"/>
    <x v="0"/>
    <x v="8"/>
    <x v="0"/>
    <n v="55"/>
    <x v="0"/>
    <x v="0"/>
    <n v="55"/>
    <n v="113538"/>
    <n v="0.94615000000000005"/>
    <x v="9"/>
    <x v="8"/>
  </r>
  <r>
    <x v="95"/>
    <x v="0"/>
    <x v="95"/>
    <x v="1"/>
    <x v="0"/>
    <x v="15"/>
    <x v="19"/>
    <x v="19"/>
    <n v="15220"/>
    <x v="0"/>
    <x v="0"/>
    <x v="9"/>
    <x v="0"/>
    <n v="19"/>
    <x v="0"/>
    <x v="0"/>
    <n v="19"/>
    <n v="113519"/>
    <n v="0.94599166666666668"/>
    <x v="10"/>
    <x v="9"/>
  </r>
  <r>
    <x v="96"/>
    <x v="0"/>
    <x v="96"/>
    <x v="1"/>
    <x v="0"/>
    <x v="15"/>
    <x v="19"/>
    <x v="19"/>
    <n v="15620"/>
    <x v="0"/>
    <x v="0"/>
    <x v="10"/>
    <x v="0"/>
    <n v="46"/>
    <x v="0"/>
    <x v="0"/>
    <n v="46"/>
    <n v="113473"/>
    <n v="0.94560833333333338"/>
    <x v="11"/>
    <x v="10"/>
  </r>
  <r>
    <x v="97"/>
    <x v="0"/>
    <x v="97"/>
    <x v="1"/>
    <x v="0"/>
    <x v="15"/>
    <x v="19"/>
    <x v="19"/>
    <n v="16020"/>
    <x v="0"/>
    <x v="0"/>
    <x v="0"/>
    <x v="0"/>
    <m/>
    <x v="0"/>
    <x v="0"/>
    <n v="30"/>
    <n v="113443"/>
    <n v="0.9453583333333333"/>
    <x v="2"/>
    <x v="0"/>
  </r>
  <r>
    <x v="98"/>
    <x v="0"/>
    <x v="98"/>
    <x v="1"/>
    <x v="0"/>
    <x v="8"/>
    <x v="14"/>
    <x v="14"/>
    <n v="16340"/>
    <x v="3"/>
    <x v="1"/>
    <x v="0"/>
    <x v="0"/>
    <m/>
    <x v="0"/>
    <x v="0"/>
    <n v="32"/>
    <n v="113411"/>
    <n v="0.94509166666666666"/>
    <x v="2"/>
    <x v="0"/>
  </r>
  <r>
    <x v="99"/>
    <x v="0"/>
    <x v="99"/>
    <x v="1"/>
    <x v="0"/>
    <x v="8"/>
    <x v="14"/>
    <x v="14"/>
    <n v="16660"/>
    <x v="0"/>
    <x v="0"/>
    <x v="0"/>
    <x v="0"/>
    <m/>
    <x v="0"/>
    <x v="0"/>
    <n v="40"/>
    <n v="113371"/>
    <n v="0.94475833333333337"/>
    <x v="2"/>
    <x v="0"/>
  </r>
  <r>
    <x v="100"/>
    <x v="0"/>
    <x v="100"/>
    <x v="1"/>
    <x v="0"/>
    <x v="8"/>
    <x v="14"/>
    <x v="14"/>
    <n v="16980"/>
    <x v="0"/>
    <x v="0"/>
    <x v="0"/>
    <x v="0"/>
    <m/>
    <x v="0"/>
    <x v="0"/>
    <n v="30"/>
    <n v="113341"/>
    <n v="0.94450833333333328"/>
    <x v="2"/>
    <x v="0"/>
  </r>
  <r>
    <x v="101"/>
    <x v="0"/>
    <x v="101"/>
    <x v="1"/>
    <x v="0"/>
    <x v="8"/>
    <x v="14"/>
    <x v="14"/>
    <n v="17300"/>
    <x v="0"/>
    <x v="0"/>
    <x v="0"/>
    <x v="0"/>
    <m/>
    <x v="0"/>
    <x v="0"/>
    <n v="56"/>
    <n v="113285"/>
    <n v="0.94404166666666667"/>
    <x v="2"/>
    <x v="0"/>
  </r>
  <r>
    <x v="102"/>
    <x v="0"/>
    <x v="102"/>
    <x v="1"/>
    <x v="0"/>
    <x v="8"/>
    <x v="14"/>
    <x v="14"/>
    <n v="17620"/>
    <x v="0"/>
    <x v="0"/>
    <x v="0"/>
    <x v="0"/>
    <m/>
    <x v="0"/>
    <x v="0"/>
    <n v="26"/>
    <n v="113259"/>
    <n v="0.94382500000000003"/>
    <x v="2"/>
    <x v="0"/>
  </r>
  <r>
    <x v="103"/>
    <x v="0"/>
    <x v="103"/>
    <x v="1"/>
    <x v="0"/>
    <x v="8"/>
    <x v="14"/>
    <x v="14"/>
    <n v="17940"/>
    <x v="0"/>
    <x v="0"/>
    <x v="11"/>
    <x v="0"/>
    <m/>
    <x v="0"/>
    <x v="0"/>
    <n v="15"/>
    <n v="113244"/>
    <n v="0.94369999999999998"/>
    <x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F8A56-4221-4B46-B8F0-0C631365D600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fieldListSortAscending="1">
  <location ref="AN1:AO67" firstHeaderRow="1" firstDataRow="1" firstDataCol="1"/>
  <pivotFields count="21"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um of abw (kg)" fld="11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2F7F7-A628-422F-8977-6D24E9222B6D}" name="PivotTable3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fieldListSortAscending="1">
  <location ref="T1:U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h="1" x="0"/>
        <item m="1" x="6"/>
        <item x="5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5"/>
    </i>
    <i t="grand">
      <x/>
    </i>
  </rowItems>
  <colItems count="1">
    <i/>
  </colItems>
  <dataFields count="1">
    <dataField name="Sum of gram" fld="10" baseField="0" baseItem="0"/>
  </dataFields>
  <chartFormats count="6"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CA214-D1B1-4DAD-B3CB-FC142CBCC84B}" name="PivotTable4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F1:AH67" firstHeaderRow="0" firstDataRow="1" firstDataCol="1"/>
  <pivotFields count="21"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ed/cum (kg)" fld="8" baseField="0" baseItem="0"/>
    <dataField name="Sum of feed/day (kg)" fld="7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CD9C3-12B7-4144-A95E-474AACD0D908}" name="PivotTable3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F1:H106" firstHeaderRow="0" firstDataRow="1" firstDataCol="1"/>
  <pivotFields count="21"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ed/cum (kg)" fld="8" baseField="0" baseItem="0"/>
    <dataField name="Sum of feed/day (kg)" fld="7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BD9BF-A154-48FA-8E72-90D509B66A86}" name="PivotTable3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fieldListSortAscending="1">
  <location ref="X1:Y106" firstHeaderRow="1" firstDataRow="1" firstDataCol="1"/>
  <pivotFields count="21">
    <pivotField axis="axisRow" showAll="0" sortType="descending">
      <items count="105"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 sortType="de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Items count="1">
    <i/>
  </colItems>
  <dataFields count="1">
    <dataField name="Sum of do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901D5-0D29-4CAF-856F-CE61A04A3B11}" name="PivotTable4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A1:AE2" firstHeaderRow="0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ax of abw (kg)" fld="11" subtotal="max" baseField="0" baseItem="1"/>
    <dataField name="Min of actual population" fld="17" subtotal="min" baseField="0" baseItem="1"/>
    <dataField name="Min of actual SR" fld="18" subtotal="min" baseField="0" baseItem="1" numFmtId="10"/>
    <dataField name="Max of biomass (kg)" fld="19" subtotal="max" baseField="0" baseItem="1"/>
    <dataField name="Max of feed/cum (kg)" fld="8" subtotal="max" baseField="0" baseItem="1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1312F-C024-4A8A-9703-8D44494D4DC4}" name="PivotTable3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fieldListSortAscending="1">
  <location ref="N1:O106" firstHeaderRow="1" firstDataRow="1" firstDataCol="1"/>
  <pivotFields count="21"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Items count="1">
    <i/>
  </colItems>
  <dataFields count="1">
    <dataField name="Sum of abw (kg)" fld="11" baseField="0" baseItem="0"/>
  </dataField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D9C0C-3EB9-4FC9-B7D6-35F314E7C780}" name="PivotTable4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fieldListSortAscending="1">
  <location ref="AT1:AU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h="1"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gram" fld="10" baseField="0" baseItem="0"/>
  </dataFields>
  <chartFormats count="7"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7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629D3-92FB-407F-9D2B-CCCCC82CA7F1}" name="PivotTable4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fieldListSortAscending="1">
  <location ref="AX1:AY67" firstHeaderRow="1" firstDataRow="1" firstDataCol="1"/>
  <pivotFields count="21">
    <pivotField axis="axisRow" showAll="0" sortType="descending">
      <items count="66"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um of doc" fld="2" baseField="0" baseItem="0"/>
  </dataFields>
  <formats count="5">
    <format dxfId="5">
      <pivotArea dataOnly="0" labelOnly="1" fieldPosition="0">
        <references count="1">
          <reference field="0" count="50"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</references>
      </pivotArea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49"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</reference>
        </references>
      </pivotArea>
    </format>
    <format dxfId="2">
      <pivotArea dataOnly="0" labelOnly="1" fieldPosition="0">
        <references count="1">
          <reference field="0" count="9"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7AB6A-B771-4F09-89FA-863CA5F1CF14}" name="PivotTable3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I1:K106" firstHeaderRow="0" firstDataRow="1" firstDataCol="1"/>
  <pivotFields count="21"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population" fld="17" baseField="0" baseItem="0"/>
    <dataField name="Sum of actual SR" fld="18" baseField="0" baseItem="0" numFmtId="10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67D0D-8385-4437-B4E1-5A9DCC405D74}" name="PivotTable4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fieldListSortAscending="1">
  <location ref="AV1:AW67" firstHeaderRow="1" firstDataRow="1" firstDataCol="1"/>
  <pivotFields count="21">
    <pivotField showAll="0"/>
    <pivotField showAll="0"/>
    <pivotField axis="axisRow" showAll="0" sortType="descending">
      <items count="71">
        <item m="1" x="69"/>
        <item m="1" x="68"/>
        <item m="1" x="67"/>
        <item m="1" x="66"/>
        <item m="1"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6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 of FCR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E06AB-71DB-47FF-831D-30558B8D2BC9}" name="PivotTable4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BB1:BD106" firstHeaderRow="0" firstDataRow="1" firstDataCol="1"/>
  <pivotFields count="21"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ed/day (kg)" fld="7" baseField="0" baseItem="0"/>
    <dataField name="Sum of dead/day" fld="16" baseField="0" baseItem="0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045F3-3057-4824-A976-DBEE460A0578}" name="PivotTable4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fieldListSortAscending="1">
  <location ref="AP1:AS3" firstHeaderRow="0" firstDataRow="1" firstDataCol="1"/>
  <pivotFields count="21">
    <pivotField showAll="0"/>
    <pivotField showAll="0"/>
    <pivotField showAll="0"/>
    <pivotField axis="axisRow" showAll="0">
      <items count="3">
        <item x="0"/>
        <item m="1" x="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C#1" fld="4" baseField="3" baseItem="0"/>
    <dataField name="Sum of GC#2" fld="5" baseField="3" baseItem="0"/>
    <dataField name="Sum of feed/bag" fld="6" baseField="0" baseItem="0"/>
  </dataFields>
  <chartFormats count="3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CC30B-A91F-4A41-8635-4347F6B3F841}" name="PivotTable3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fieldListSortAscending="1">
  <location ref="L1:M106" firstHeaderRow="1" firstDataRow="1" firstDataCol="1"/>
  <pivotFields count="21"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Items count="1">
    <i/>
  </colItems>
  <dataFields count="1">
    <dataField name="Sum of dead/day" fld="16" baseField="0" baseItem="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0953F-754E-4E2C-897E-8690A0660A85}" name="PivotTable3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fieldListSortAscending="1">
  <location ref="P1:S4" firstHeaderRow="0" firstDataRow="1" firstDataCol="1"/>
  <pivotFields count="21"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C#1" fld="4" baseField="0" baseItem="0"/>
    <dataField name="Sum of GC#2" fld="5" baseField="0" baseItem="0"/>
    <dataField name="Sum of feed/bag" fld="6" baseField="0" baseItem="0"/>
  </dataFields>
  <chartFormats count="3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FBBC4-CCF4-4996-A5E8-038CAB92AFD3}" name="PivotTable4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L1:AM67" firstHeaderRow="1" firstDataRow="1" firstDataCol="1"/>
  <pivotFields count="21"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um of dead/day" fld="16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11187-E7A8-40CC-8A1E-C9FA35728814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I1:AK67" firstHeaderRow="0" firstDataRow="1" firstDataCol="1"/>
  <pivotFields count="21"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population" fld="17" baseField="0" baseItem="0"/>
    <dataField name="Sum of actual SR" fld="18" baseField="0" baseItem="0" numFmtId="10"/>
  </dataFields>
  <formats count="2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AA992-FA73-477E-93F9-E190729A6467}" name="PivotTable3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2" firstHeaderRow="0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ax of abw (kg)" fld="11" subtotal="max" baseField="0" baseItem="1"/>
    <dataField name="Min of actual population" fld="17" subtotal="min" baseField="0" baseItem="1"/>
    <dataField name="Min of actual SR" fld="18" subtotal="min" baseField="0" baseItem="1" numFmtId="10"/>
    <dataField name="Max of biomass (kg)" fld="19" subtotal="max" baseField="0" baseItem="3"/>
    <dataField name="Max of feed/cum (kg)" fld="8" subtotal="max" baseField="0" baseItem="4"/>
  </dataFields>
  <formats count="1"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0E6AD-AAA8-440D-982F-8C5D6FA38EB8}" name="PivotTable3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fieldListSortAscending="1">
  <location ref="V1:W106" firstHeaderRow="1" firstDataRow="1" firstDataCol="1"/>
  <pivotFields count="21">
    <pivotField showAll="0"/>
    <pivotField showAll="0"/>
    <pivotField axis="axisRow" showAll="0" sortType="descending">
      <items count="106">
        <item m="1"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0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 of FCR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A2A4-4B08-476B-87FC-6CE5ADDE5D0B}">
  <dimension ref="A1:BD106"/>
  <sheetViews>
    <sheetView workbookViewId="0">
      <selection activeCell="AH63" sqref="AH63"/>
    </sheetView>
  </sheetViews>
  <sheetFormatPr defaultRowHeight="14.4" x14ac:dyDescent="0.3"/>
  <cols>
    <col min="1" max="1" width="13.6640625" bestFit="1" customWidth="1"/>
    <col min="2" max="2" width="21" bestFit="1" customWidth="1"/>
    <col min="3" max="3" width="14.109375" bestFit="1" customWidth="1"/>
    <col min="4" max="4" width="17.44140625" bestFit="1" customWidth="1"/>
    <col min="5" max="5" width="18.33203125" bestFit="1" customWidth="1"/>
    <col min="6" max="6" width="12.44140625" bestFit="1" customWidth="1"/>
    <col min="7" max="7" width="18.77734375" bestFit="1" customWidth="1"/>
    <col min="8" max="8" width="18.109375" bestFit="1" customWidth="1"/>
    <col min="9" max="9" width="12.44140625" bestFit="1" customWidth="1"/>
    <col min="10" max="10" width="21.88671875" bestFit="1" customWidth="1"/>
    <col min="11" max="11" width="14.88671875" style="5" bestFit="1" customWidth="1"/>
    <col min="12" max="12" width="12.44140625" bestFit="1" customWidth="1"/>
    <col min="13" max="13" width="15" bestFit="1" customWidth="1"/>
    <col min="14" max="14" width="12.44140625" bestFit="1" customWidth="1"/>
    <col min="15" max="15" width="14.109375" bestFit="1" customWidth="1"/>
    <col min="16" max="16" width="12.44140625" bestFit="1" customWidth="1"/>
    <col min="17" max="18" width="11.5546875" bestFit="1" customWidth="1"/>
    <col min="19" max="19" width="14.44140625" bestFit="1" customWidth="1"/>
    <col min="20" max="20" width="16.88671875" bestFit="1" customWidth="1"/>
    <col min="21" max="21" width="11.21875" bestFit="1" customWidth="1"/>
    <col min="22" max="22" width="12.44140625" bestFit="1" customWidth="1"/>
    <col min="23" max="23" width="12" bestFit="1" customWidth="1"/>
    <col min="24" max="24" width="12.44140625" bestFit="1" customWidth="1"/>
    <col min="25" max="25" width="10.109375" bestFit="1" customWidth="1"/>
    <col min="26" max="26" width="12.6640625" customWidth="1"/>
    <col min="27" max="27" width="13.6640625" bestFit="1" customWidth="1"/>
    <col min="28" max="28" width="21" bestFit="1" customWidth="1"/>
    <col min="29" max="29" width="14.109375" bestFit="1" customWidth="1"/>
    <col min="30" max="30" width="17.44140625" bestFit="1" customWidth="1"/>
    <col min="31" max="31" width="18.33203125" bestFit="1" customWidth="1"/>
    <col min="32" max="32" width="12.44140625" bestFit="1" customWidth="1"/>
    <col min="33" max="33" width="18.77734375" bestFit="1" customWidth="1"/>
    <col min="34" max="34" width="18.109375" bestFit="1" customWidth="1"/>
    <col min="35" max="35" width="12.44140625" bestFit="1" customWidth="1"/>
    <col min="36" max="36" width="21.88671875" bestFit="1" customWidth="1"/>
    <col min="37" max="37" width="14.88671875" style="6" bestFit="1" customWidth="1"/>
    <col min="38" max="38" width="12.44140625" bestFit="1" customWidth="1"/>
    <col min="39" max="39" width="15" bestFit="1" customWidth="1"/>
    <col min="40" max="40" width="12.44140625" bestFit="1" customWidth="1"/>
    <col min="41" max="41" width="14.109375" bestFit="1" customWidth="1"/>
    <col min="42" max="42" width="12.44140625" bestFit="1" customWidth="1"/>
    <col min="43" max="44" width="11.5546875" bestFit="1" customWidth="1"/>
    <col min="45" max="45" width="14.44140625" bestFit="1" customWidth="1"/>
    <col min="46" max="46" width="22.5546875" bestFit="1" customWidth="1"/>
    <col min="47" max="47" width="11.21875" bestFit="1" customWidth="1"/>
    <col min="48" max="48" width="12.44140625" bestFit="1" customWidth="1"/>
    <col min="49" max="49" width="12" bestFit="1" customWidth="1"/>
    <col min="50" max="50" width="12.44140625" style="8" bestFit="1" customWidth="1"/>
    <col min="51" max="51" width="10.109375" bestFit="1" customWidth="1"/>
    <col min="52" max="52" width="10.33203125" customWidth="1"/>
    <col min="54" max="54" width="12.44140625" bestFit="1" customWidth="1"/>
    <col min="55" max="55" width="18.109375" bestFit="1" customWidth="1"/>
    <col min="56" max="56" width="1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5</v>
      </c>
      <c r="J1" t="s">
        <v>8</v>
      </c>
      <c r="K1" s="5" t="s">
        <v>9</v>
      </c>
      <c r="L1" s="1" t="s">
        <v>5</v>
      </c>
      <c r="M1" t="s">
        <v>10</v>
      </c>
      <c r="N1" s="1" t="s">
        <v>5</v>
      </c>
      <c r="O1" t="s">
        <v>11</v>
      </c>
      <c r="P1" s="1" t="s">
        <v>5</v>
      </c>
      <c r="Q1" t="s">
        <v>12</v>
      </c>
      <c r="R1" t="s">
        <v>13</v>
      </c>
      <c r="S1" t="s">
        <v>14</v>
      </c>
      <c r="T1" s="1" t="s">
        <v>5</v>
      </c>
      <c r="U1" t="s">
        <v>15</v>
      </c>
      <c r="V1" s="1" t="s">
        <v>5</v>
      </c>
      <c r="W1" t="s">
        <v>16</v>
      </c>
      <c r="X1" s="1" t="s">
        <v>5</v>
      </c>
      <c r="Y1" t="s">
        <v>17</v>
      </c>
      <c r="AA1" t="s">
        <v>0</v>
      </c>
      <c r="AB1" t="s">
        <v>1</v>
      </c>
      <c r="AC1" t="s">
        <v>2</v>
      </c>
      <c r="AD1" t="s">
        <v>3</v>
      </c>
      <c r="AE1" t="s">
        <v>4</v>
      </c>
      <c r="AF1" s="1" t="s">
        <v>5</v>
      </c>
      <c r="AG1" t="s">
        <v>6</v>
      </c>
      <c r="AH1" t="s">
        <v>7</v>
      </c>
      <c r="AI1" s="1" t="s">
        <v>5</v>
      </c>
      <c r="AJ1" t="s">
        <v>8</v>
      </c>
      <c r="AK1" s="5" t="s">
        <v>9</v>
      </c>
      <c r="AL1" s="1" t="s">
        <v>5</v>
      </c>
      <c r="AM1" t="s">
        <v>10</v>
      </c>
      <c r="AN1" s="1" t="s">
        <v>5</v>
      </c>
      <c r="AO1" t="s">
        <v>11</v>
      </c>
      <c r="AP1" s="1" t="s">
        <v>5</v>
      </c>
      <c r="AQ1" t="s">
        <v>12</v>
      </c>
      <c r="AR1" t="s">
        <v>13</v>
      </c>
      <c r="AS1" t="s">
        <v>14</v>
      </c>
      <c r="AT1" s="1" t="s">
        <v>5</v>
      </c>
      <c r="AU1" t="s">
        <v>15</v>
      </c>
      <c r="AV1" s="1" t="s">
        <v>5</v>
      </c>
      <c r="AW1" t="s">
        <v>16</v>
      </c>
      <c r="AX1" s="9" t="s">
        <v>5</v>
      </c>
      <c r="AY1" t="s">
        <v>17</v>
      </c>
      <c r="BB1" s="1" t="s">
        <v>5</v>
      </c>
      <c r="BC1" t="s">
        <v>7</v>
      </c>
      <c r="BD1" t="s">
        <v>10</v>
      </c>
    </row>
    <row r="2" spans="1:56" x14ac:dyDescent="0.3">
      <c r="A2">
        <v>176</v>
      </c>
      <c r="B2">
        <v>113244</v>
      </c>
      <c r="C2" s="5">
        <v>0.94369999999999998</v>
      </c>
      <c r="D2">
        <v>19930.944</v>
      </c>
      <c r="E2">
        <v>17940</v>
      </c>
      <c r="F2" s="2">
        <v>46141</v>
      </c>
      <c r="I2" s="2">
        <v>46141</v>
      </c>
      <c r="L2" s="2">
        <v>46141</v>
      </c>
      <c r="N2" s="2">
        <v>46141</v>
      </c>
      <c r="P2" s="3" t="s">
        <v>18</v>
      </c>
      <c r="T2" s="3" t="s">
        <v>19</v>
      </c>
      <c r="U2">
        <v>3400</v>
      </c>
      <c r="V2" s="3">
        <v>104</v>
      </c>
      <c r="W2">
        <v>0.90010789253133217</v>
      </c>
      <c r="X2" s="2">
        <v>46244</v>
      </c>
      <c r="Y2">
        <v>104</v>
      </c>
      <c r="Z2" s="8">
        <f>X2</f>
        <v>46244</v>
      </c>
      <c r="AA2">
        <v>57.89</v>
      </c>
      <c r="AB2">
        <v>110713</v>
      </c>
      <c r="AC2" s="5">
        <v>0.92260833333333336</v>
      </c>
      <c r="AD2">
        <v>6409.1755700000003</v>
      </c>
      <c r="AE2">
        <v>8740</v>
      </c>
      <c r="AF2" s="2">
        <v>46180</v>
      </c>
      <c r="AG2">
        <v>20</v>
      </c>
      <c r="AH2">
        <v>20</v>
      </c>
      <c r="AI2" s="2">
        <v>46180</v>
      </c>
      <c r="AJ2">
        <v>119200</v>
      </c>
      <c r="AK2" s="5">
        <v>0.99333333333333329</v>
      </c>
      <c r="AL2" s="2">
        <v>46180</v>
      </c>
      <c r="AM2">
        <v>800</v>
      </c>
      <c r="AN2" s="2">
        <v>46180</v>
      </c>
      <c r="AP2" s="3" t="s">
        <v>20</v>
      </c>
      <c r="AQ2">
        <v>435</v>
      </c>
      <c r="AS2">
        <v>435</v>
      </c>
      <c r="AT2" s="3" t="s">
        <v>19</v>
      </c>
      <c r="AU2">
        <v>1200</v>
      </c>
      <c r="AV2" s="3">
        <v>65</v>
      </c>
      <c r="AW2">
        <v>1.3636699298596371</v>
      </c>
      <c r="AX2" s="2">
        <v>46244</v>
      </c>
      <c r="AY2">
        <v>65</v>
      </c>
      <c r="AZ2" s="4">
        <f>AW$2</f>
        <v>1.3636699298596371</v>
      </c>
      <c r="BB2" s="2">
        <v>46141</v>
      </c>
    </row>
    <row r="3" spans="1:56" x14ac:dyDescent="0.3">
      <c r="F3" s="2">
        <v>46142</v>
      </c>
      <c r="I3" s="2">
        <v>46142</v>
      </c>
      <c r="L3" s="2">
        <v>46142</v>
      </c>
      <c r="N3" s="2">
        <v>46142</v>
      </c>
      <c r="P3" s="3" t="s">
        <v>20</v>
      </c>
      <c r="Q3">
        <v>311</v>
      </c>
      <c r="R3">
        <v>586</v>
      </c>
      <c r="S3">
        <v>897</v>
      </c>
      <c r="T3" s="3" t="s">
        <v>21</v>
      </c>
      <c r="U3">
        <v>3440</v>
      </c>
      <c r="V3" s="3">
        <v>103</v>
      </c>
      <c r="X3" s="2">
        <v>46243</v>
      </c>
      <c r="Y3">
        <v>103</v>
      </c>
      <c r="Z3">
        <f>GETPIVOTDATA("doc",$X$1,"date",DATE(2026,8,3))</f>
        <v>97</v>
      </c>
      <c r="AF3" s="2">
        <v>46181</v>
      </c>
      <c r="AG3">
        <v>40</v>
      </c>
      <c r="AH3">
        <v>20</v>
      </c>
      <c r="AI3" s="2">
        <v>46181</v>
      </c>
      <c r="AJ3">
        <v>119200</v>
      </c>
      <c r="AK3" s="5">
        <v>0.99333333333333329</v>
      </c>
      <c r="AL3" s="2">
        <v>46181</v>
      </c>
      <c r="AM3">
        <v>0</v>
      </c>
      <c r="AN3" s="2">
        <v>46181</v>
      </c>
      <c r="AO3">
        <v>5.0999999999999996</v>
      </c>
      <c r="AP3" s="3" t="s">
        <v>22</v>
      </c>
      <c r="AQ3">
        <v>435</v>
      </c>
      <c r="AS3">
        <v>435</v>
      </c>
      <c r="AT3" s="3" t="s">
        <v>23</v>
      </c>
      <c r="AU3">
        <v>1000</v>
      </c>
      <c r="AV3" s="3">
        <v>64</v>
      </c>
      <c r="AX3" s="2">
        <v>46243</v>
      </c>
      <c r="AY3">
        <v>64</v>
      </c>
      <c r="AZ3" s="8">
        <f>AX$2</f>
        <v>46244</v>
      </c>
      <c r="BB3" s="2">
        <v>46142</v>
      </c>
    </row>
    <row r="4" spans="1:56" x14ac:dyDescent="0.3">
      <c r="A4">
        <f>GETPIVOTDATA("Max of abw (kg)",$A$1)</f>
        <v>176</v>
      </c>
      <c r="B4">
        <f>GETPIVOTDATA("Min of actual population",$A$1)</f>
        <v>113244</v>
      </c>
      <c r="C4" s="6">
        <f>GETPIVOTDATA("Min of actual SR",$A$1)</f>
        <v>0.94369999999999998</v>
      </c>
      <c r="D4" s="4">
        <f>GETPIVOTDATA("Max of biomass (kg)",$A$1)</f>
        <v>19930.944</v>
      </c>
      <c r="E4">
        <f>GETPIVOTDATA("Max of feed/cum (kg)",$A$1)</f>
        <v>17940</v>
      </c>
      <c r="F4" s="2">
        <v>46143</v>
      </c>
      <c r="G4">
        <v>40</v>
      </c>
      <c r="H4">
        <v>40</v>
      </c>
      <c r="I4" s="2">
        <v>46143</v>
      </c>
      <c r="J4">
        <v>119990</v>
      </c>
      <c r="K4" s="5">
        <v>0.99991666666666668</v>
      </c>
      <c r="L4" s="2">
        <v>46143</v>
      </c>
      <c r="M4">
        <v>10</v>
      </c>
      <c r="N4" s="2">
        <v>46143</v>
      </c>
      <c r="O4">
        <v>50</v>
      </c>
      <c r="P4" s="3" t="s">
        <v>22</v>
      </c>
      <c r="Q4">
        <v>311</v>
      </c>
      <c r="R4">
        <v>586</v>
      </c>
      <c r="S4">
        <v>897</v>
      </c>
      <c r="T4" s="3" t="s">
        <v>23</v>
      </c>
      <c r="U4">
        <v>2500</v>
      </c>
      <c r="V4" s="3">
        <v>102</v>
      </c>
      <c r="X4" s="2">
        <v>46242</v>
      </c>
      <c r="Y4">
        <v>102</v>
      </c>
      <c r="Z4" s="4">
        <f>GETPIVOTDATA("FCR",$V$1,"doc",97)</f>
        <v>1.0093407481598333</v>
      </c>
      <c r="AA4" s="4">
        <f>GETPIVOTDATA("Max of abw (kg)",$AA$1)</f>
        <v>57.89</v>
      </c>
      <c r="AB4">
        <f>GETPIVOTDATA("Min of actual population",$AA$1)</f>
        <v>110713</v>
      </c>
      <c r="AC4" s="6">
        <f>GETPIVOTDATA("Min of actual SR",$AA$1)</f>
        <v>0.92260833333333336</v>
      </c>
      <c r="AD4" s="4">
        <f>GETPIVOTDATA("Max of biomass (kg)",$AA$1)</f>
        <v>6409.1755700000003</v>
      </c>
      <c r="AE4">
        <f>GETPIVOTDATA("Max of feed/cum (kg)",$AA$1)</f>
        <v>8740</v>
      </c>
      <c r="AF4" s="2">
        <v>46182</v>
      </c>
      <c r="AG4">
        <v>80</v>
      </c>
      <c r="AH4">
        <v>40</v>
      </c>
      <c r="AI4" s="2">
        <v>46182</v>
      </c>
      <c r="AJ4">
        <v>119200</v>
      </c>
      <c r="AK4" s="5">
        <v>0.99333333333333329</v>
      </c>
      <c r="AL4" s="2">
        <v>46182</v>
      </c>
      <c r="AM4">
        <v>0</v>
      </c>
      <c r="AN4" s="2">
        <v>46182</v>
      </c>
      <c r="AT4" s="3" t="s">
        <v>24</v>
      </c>
      <c r="AU4">
        <v>1350</v>
      </c>
      <c r="AV4" s="3">
        <v>63</v>
      </c>
      <c r="AX4" s="2">
        <v>46242</v>
      </c>
      <c r="AY4">
        <v>63</v>
      </c>
      <c r="AZ4" s="7">
        <f>AY$2</f>
        <v>65</v>
      </c>
      <c r="BB4" s="2">
        <v>46143</v>
      </c>
      <c r="BC4">
        <v>40</v>
      </c>
      <c r="BD4">
        <v>10</v>
      </c>
    </row>
    <row r="5" spans="1:56" x14ac:dyDescent="0.3">
      <c r="F5" s="2">
        <v>46144</v>
      </c>
      <c r="G5">
        <v>80</v>
      </c>
      <c r="H5">
        <v>40</v>
      </c>
      <c r="I5" s="2">
        <v>46144</v>
      </c>
      <c r="J5">
        <v>119970</v>
      </c>
      <c r="K5" s="5">
        <v>0.99975000000000003</v>
      </c>
      <c r="L5" s="2">
        <v>46144</v>
      </c>
      <c r="M5">
        <v>20</v>
      </c>
      <c r="N5" s="2">
        <v>46144</v>
      </c>
      <c r="T5" s="3" t="s">
        <v>25</v>
      </c>
      <c r="U5">
        <v>2050</v>
      </c>
      <c r="V5" s="3">
        <v>101</v>
      </c>
      <c r="X5" s="2">
        <v>46241</v>
      </c>
      <c r="Y5">
        <v>101</v>
      </c>
      <c r="AF5" s="2">
        <v>46183</v>
      </c>
      <c r="AG5">
        <v>120</v>
      </c>
      <c r="AH5">
        <v>40</v>
      </c>
      <c r="AI5" s="2">
        <v>46183</v>
      </c>
      <c r="AJ5">
        <v>119200</v>
      </c>
      <c r="AK5" s="5">
        <v>0.99333333333333329</v>
      </c>
      <c r="AL5" s="2">
        <v>46183</v>
      </c>
      <c r="AM5">
        <v>0</v>
      </c>
      <c r="AN5" s="2">
        <v>46183</v>
      </c>
      <c r="AT5" s="3" t="s">
        <v>25</v>
      </c>
      <c r="AU5">
        <v>1250</v>
      </c>
      <c r="AV5" s="3">
        <v>62</v>
      </c>
      <c r="AX5" s="2">
        <v>46241</v>
      </c>
      <c r="AY5">
        <v>62</v>
      </c>
      <c r="BB5" s="2">
        <v>46144</v>
      </c>
      <c r="BC5">
        <v>40</v>
      </c>
      <c r="BD5">
        <v>20</v>
      </c>
    </row>
    <row r="6" spans="1:56" x14ac:dyDescent="0.3">
      <c r="F6" s="2">
        <v>46145</v>
      </c>
      <c r="G6">
        <v>120</v>
      </c>
      <c r="H6">
        <v>40</v>
      </c>
      <c r="I6" s="2">
        <v>46145</v>
      </c>
      <c r="J6">
        <v>119960</v>
      </c>
      <c r="K6" s="5">
        <v>0.9996666666666667</v>
      </c>
      <c r="L6" s="2">
        <v>46145</v>
      </c>
      <c r="M6">
        <v>10</v>
      </c>
      <c r="N6" s="2">
        <v>46145</v>
      </c>
      <c r="T6" s="3" t="s">
        <v>22</v>
      </c>
      <c r="U6">
        <v>11390</v>
      </c>
      <c r="V6" s="3">
        <v>100</v>
      </c>
      <c r="X6" s="2">
        <v>46240</v>
      </c>
      <c r="Y6">
        <v>100</v>
      </c>
      <c r="AF6" s="2">
        <v>46184</v>
      </c>
      <c r="AG6">
        <v>180</v>
      </c>
      <c r="AH6">
        <v>60</v>
      </c>
      <c r="AI6" s="2">
        <v>46184</v>
      </c>
      <c r="AJ6">
        <v>119200</v>
      </c>
      <c r="AK6" s="5">
        <v>0.99333333333333329</v>
      </c>
      <c r="AL6" s="2">
        <v>46184</v>
      </c>
      <c r="AM6">
        <v>0</v>
      </c>
      <c r="AN6" s="2">
        <v>46184</v>
      </c>
      <c r="AT6" s="3" t="s">
        <v>26</v>
      </c>
      <c r="AV6" s="3">
        <v>61</v>
      </c>
      <c r="AX6" s="2">
        <v>46240</v>
      </c>
      <c r="AY6">
        <v>61</v>
      </c>
      <c r="BB6" s="2">
        <v>46145</v>
      </c>
      <c r="BC6">
        <v>40</v>
      </c>
      <c r="BD6">
        <v>10</v>
      </c>
    </row>
    <row r="7" spans="1:56" x14ac:dyDescent="0.3">
      <c r="F7" s="2">
        <v>46146</v>
      </c>
      <c r="G7">
        <v>180</v>
      </c>
      <c r="H7">
        <v>60</v>
      </c>
      <c r="I7" s="2">
        <v>46146</v>
      </c>
      <c r="J7">
        <v>119912</v>
      </c>
      <c r="K7" s="5">
        <v>0.99926666666666664</v>
      </c>
      <c r="L7" s="2">
        <v>46146</v>
      </c>
      <c r="M7">
        <v>48</v>
      </c>
      <c r="N7" s="2">
        <v>46146</v>
      </c>
      <c r="V7" s="3">
        <v>99</v>
      </c>
      <c r="X7" s="2">
        <v>46239</v>
      </c>
      <c r="Y7">
        <v>99</v>
      </c>
      <c r="AF7" s="2">
        <v>46185</v>
      </c>
      <c r="AG7">
        <v>240</v>
      </c>
      <c r="AH7">
        <v>60</v>
      </c>
      <c r="AI7" s="2">
        <v>46185</v>
      </c>
      <c r="AJ7">
        <v>119194</v>
      </c>
      <c r="AK7" s="5">
        <v>0.9932833333333333</v>
      </c>
      <c r="AL7" s="2">
        <v>46185</v>
      </c>
      <c r="AM7">
        <v>6</v>
      </c>
      <c r="AN7" s="2">
        <v>46185</v>
      </c>
      <c r="AT7" s="3" t="s">
        <v>22</v>
      </c>
      <c r="AU7">
        <v>4800</v>
      </c>
      <c r="AV7" s="3">
        <v>60</v>
      </c>
      <c r="AX7" s="2">
        <v>46239</v>
      </c>
      <c r="AY7">
        <v>60</v>
      </c>
      <c r="BB7" s="2">
        <v>46146</v>
      </c>
      <c r="BC7">
        <v>60</v>
      </c>
      <c r="BD7">
        <v>48</v>
      </c>
    </row>
    <row r="8" spans="1:56" x14ac:dyDescent="0.3">
      <c r="F8" s="2">
        <v>46147</v>
      </c>
      <c r="G8">
        <v>240</v>
      </c>
      <c r="H8">
        <v>60</v>
      </c>
      <c r="I8" s="2">
        <v>46147</v>
      </c>
      <c r="J8">
        <v>119722</v>
      </c>
      <c r="K8" s="5">
        <v>0.99768333333333337</v>
      </c>
      <c r="L8" s="2">
        <v>46147</v>
      </c>
      <c r="M8">
        <v>190</v>
      </c>
      <c r="N8" s="2">
        <v>46147</v>
      </c>
      <c r="V8" s="3">
        <v>98</v>
      </c>
      <c r="X8" s="2">
        <v>46238</v>
      </c>
      <c r="Y8">
        <v>98</v>
      </c>
      <c r="AF8" s="2">
        <v>46186</v>
      </c>
      <c r="AG8">
        <v>300</v>
      </c>
      <c r="AH8">
        <v>60</v>
      </c>
      <c r="AI8" s="2">
        <v>46186</v>
      </c>
      <c r="AJ8">
        <v>119192</v>
      </c>
      <c r="AK8" s="5">
        <v>0.99326666666666663</v>
      </c>
      <c r="AL8" s="2">
        <v>46186</v>
      </c>
      <c r="AM8">
        <v>2</v>
      </c>
      <c r="AN8" s="2">
        <v>46186</v>
      </c>
      <c r="AV8" s="3">
        <v>59</v>
      </c>
      <c r="AX8" s="2">
        <v>46238</v>
      </c>
      <c r="AY8">
        <v>59</v>
      </c>
      <c r="BB8" s="2">
        <v>46147</v>
      </c>
      <c r="BC8">
        <v>60</v>
      </c>
      <c r="BD8">
        <v>190</v>
      </c>
    </row>
    <row r="9" spans="1:56" x14ac:dyDescent="0.3">
      <c r="F9" s="2">
        <v>46148</v>
      </c>
      <c r="G9">
        <v>300</v>
      </c>
      <c r="H9">
        <v>60</v>
      </c>
      <c r="I9" s="2">
        <v>46148</v>
      </c>
      <c r="J9">
        <v>119577</v>
      </c>
      <c r="K9" s="5">
        <v>0.996475</v>
      </c>
      <c r="L9" s="2">
        <v>46148</v>
      </c>
      <c r="M9">
        <v>145</v>
      </c>
      <c r="N9" s="2">
        <v>46148</v>
      </c>
      <c r="V9" s="3">
        <v>97</v>
      </c>
      <c r="W9">
        <v>1.0093407481598333</v>
      </c>
      <c r="X9" s="2">
        <v>46237</v>
      </c>
      <c r="Y9">
        <v>97</v>
      </c>
      <c r="AF9" s="2">
        <v>46187</v>
      </c>
      <c r="AG9">
        <v>360</v>
      </c>
      <c r="AH9">
        <v>60</v>
      </c>
      <c r="AI9" s="2">
        <v>46187</v>
      </c>
      <c r="AJ9">
        <v>119189</v>
      </c>
      <c r="AK9" s="5">
        <v>0.99324166666666669</v>
      </c>
      <c r="AL9" s="2">
        <v>46187</v>
      </c>
      <c r="AM9">
        <v>3</v>
      </c>
      <c r="AN9" s="2">
        <v>46187</v>
      </c>
      <c r="AV9" s="3">
        <v>58</v>
      </c>
      <c r="AW9">
        <v>1.2098772705150163</v>
      </c>
      <c r="AX9" s="10">
        <v>46237</v>
      </c>
      <c r="AY9">
        <v>58</v>
      </c>
      <c r="BB9" s="2">
        <v>46148</v>
      </c>
      <c r="BC9">
        <v>60</v>
      </c>
      <c r="BD9">
        <v>145</v>
      </c>
    </row>
    <row r="10" spans="1:56" x14ac:dyDescent="0.3">
      <c r="F10" s="2">
        <v>46149</v>
      </c>
      <c r="G10">
        <v>360</v>
      </c>
      <c r="H10">
        <v>60</v>
      </c>
      <c r="I10" s="2">
        <v>46149</v>
      </c>
      <c r="J10">
        <v>119427</v>
      </c>
      <c r="K10" s="5">
        <v>0.99522500000000003</v>
      </c>
      <c r="L10" s="2">
        <v>46149</v>
      </c>
      <c r="M10">
        <v>150</v>
      </c>
      <c r="N10" s="2">
        <v>46149</v>
      </c>
      <c r="V10" s="3">
        <v>96</v>
      </c>
      <c r="W10">
        <v>0.99691034363001119</v>
      </c>
      <c r="X10" s="2">
        <v>46236</v>
      </c>
      <c r="Y10">
        <v>96</v>
      </c>
      <c r="AF10" s="2">
        <v>46188</v>
      </c>
      <c r="AG10">
        <v>420</v>
      </c>
      <c r="AH10">
        <v>60</v>
      </c>
      <c r="AI10" s="2">
        <v>46188</v>
      </c>
      <c r="AJ10">
        <v>119174</v>
      </c>
      <c r="AK10" s="5">
        <v>0.99311666666666665</v>
      </c>
      <c r="AL10" s="2">
        <v>46188</v>
      </c>
      <c r="AM10">
        <v>15</v>
      </c>
      <c r="AN10" s="2">
        <v>46188</v>
      </c>
      <c r="AV10" s="3">
        <v>57</v>
      </c>
      <c r="AW10">
        <v>1.1962763295489482</v>
      </c>
      <c r="AX10" s="10">
        <v>46236</v>
      </c>
      <c r="AY10">
        <v>57</v>
      </c>
      <c r="BB10" s="2">
        <v>46149</v>
      </c>
      <c r="BC10">
        <v>60</v>
      </c>
      <c r="BD10">
        <v>150</v>
      </c>
    </row>
    <row r="11" spans="1:56" x14ac:dyDescent="0.3">
      <c r="F11" s="2">
        <v>46150</v>
      </c>
      <c r="G11">
        <v>420</v>
      </c>
      <c r="H11">
        <v>60</v>
      </c>
      <c r="I11" s="2">
        <v>46150</v>
      </c>
      <c r="J11">
        <v>119372</v>
      </c>
      <c r="K11" s="5">
        <v>0.99476666666666669</v>
      </c>
      <c r="L11" s="2">
        <v>46150</v>
      </c>
      <c r="M11">
        <v>55</v>
      </c>
      <c r="N11" s="2">
        <v>46150</v>
      </c>
      <c r="V11" s="3">
        <v>95</v>
      </c>
      <c r="W11">
        <v>0.984381492384514</v>
      </c>
      <c r="X11" s="2">
        <v>46235</v>
      </c>
      <c r="Y11">
        <v>95</v>
      </c>
      <c r="AF11" s="2">
        <v>46189</v>
      </c>
      <c r="AG11">
        <v>480</v>
      </c>
      <c r="AH11">
        <v>60</v>
      </c>
      <c r="AI11" s="2">
        <v>46189</v>
      </c>
      <c r="AJ11">
        <v>119134</v>
      </c>
      <c r="AK11" s="5">
        <v>0.99278333333333335</v>
      </c>
      <c r="AL11" s="2">
        <v>46189</v>
      </c>
      <c r="AM11">
        <v>40</v>
      </c>
      <c r="AN11" s="2">
        <v>46189</v>
      </c>
      <c r="AO11">
        <v>10.3</v>
      </c>
      <c r="AV11" s="3">
        <v>56</v>
      </c>
      <c r="AW11">
        <v>1.1859759290966914</v>
      </c>
      <c r="AX11" s="10">
        <v>46235</v>
      </c>
      <c r="AY11">
        <v>56</v>
      </c>
      <c r="BB11" s="2">
        <v>46150</v>
      </c>
      <c r="BC11">
        <v>60</v>
      </c>
      <c r="BD11">
        <v>55</v>
      </c>
    </row>
    <row r="12" spans="1:56" x14ac:dyDescent="0.3">
      <c r="F12" s="2">
        <v>46151</v>
      </c>
      <c r="G12">
        <v>480</v>
      </c>
      <c r="H12">
        <v>60</v>
      </c>
      <c r="I12" s="2">
        <v>46151</v>
      </c>
      <c r="J12">
        <v>119317</v>
      </c>
      <c r="K12" s="5">
        <v>0.99430833333333335</v>
      </c>
      <c r="L12" s="2">
        <v>46151</v>
      </c>
      <c r="M12">
        <v>55</v>
      </c>
      <c r="N12" s="2">
        <v>46151</v>
      </c>
      <c r="V12" s="3">
        <v>94</v>
      </c>
      <c r="X12" s="2">
        <v>46234</v>
      </c>
      <c r="Y12">
        <v>94</v>
      </c>
      <c r="AF12" s="2">
        <v>46190</v>
      </c>
      <c r="AG12">
        <v>560</v>
      </c>
      <c r="AH12">
        <v>80</v>
      </c>
      <c r="AI12" s="2">
        <v>46190</v>
      </c>
      <c r="AJ12">
        <v>119108</v>
      </c>
      <c r="AK12" s="5">
        <v>0.99256666666666671</v>
      </c>
      <c r="AL12" s="2">
        <v>46190</v>
      </c>
      <c r="AM12">
        <v>26</v>
      </c>
      <c r="AN12" s="2">
        <v>46190</v>
      </c>
      <c r="AV12" s="3">
        <v>55</v>
      </c>
      <c r="AX12" s="10">
        <v>46234</v>
      </c>
      <c r="AY12">
        <v>55</v>
      </c>
      <c r="BB12" s="2">
        <v>46151</v>
      </c>
      <c r="BC12">
        <v>60</v>
      </c>
      <c r="BD12">
        <v>55</v>
      </c>
    </row>
    <row r="13" spans="1:56" x14ac:dyDescent="0.3">
      <c r="F13" s="2">
        <v>46152</v>
      </c>
      <c r="G13">
        <v>540</v>
      </c>
      <c r="H13">
        <v>60</v>
      </c>
      <c r="I13" s="2">
        <v>46152</v>
      </c>
      <c r="J13">
        <v>119281</v>
      </c>
      <c r="K13" s="5">
        <v>0.99400833333333338</v>
      </c>
      <c r="L13" s="2">
        <v>46152</v>
      </c>
      <c r="M13">
        <v>36</v>
      </c>
      <c r="N13" s="2">
        <v>46152</v>
      </c>
      <c r="O13">
        <v>15</v>
      </c>
      <c r="V13" s="3">
        <v>93</v>
      </c>
      <c r="X13" s="2">
        <v>46233</v>
      </c>
      <c r="Y13">
        <v>93</v>
      </c>
      <c r="AF13" s="2">
        <v>46191</v>
      </c>
      <c r="AG13">
        <v>640</v>
      </c>
      <c r="AH13">
        <v>80</v>
      </c>
      <c r="AI13" s="2">
        <v>46191</v>
      </c>
      <c r="AJ13">
        <v>119096</v>
      </c>
      <c r="AK13" s="5">
        <v>0.99246666666666672</v>
      </c>
      <c r="AL13" s="2">
        <v>46191</v>
      </c>
      <c r="AM13">
        <v>12</v>
      </c>
      <c r="AN13" s="2">
        <v>46191</v>
      </c>
      <c r="AV13" s="3">
        <v>54</v>
      </c>
      <c r="AX13" s="10">
        <v>46233</v>
      </c>
      <c r="AY13">
        <v>54</v>
      </c>
      <c r="BB13" s="2">
        <v>46152</v>
      </c>
      <c r="BC13">
        <v>60</v>
      </c>
      <c r="BD13">
        <v>36</v>
      </c>
    </row>
    <row r="14" spans="1:56" x14ac:dyDescent="0.3">
      <c r="F14" s="2">
        <v>46153</v>
      </c>
      <c r="G14">
        <v>620</v>
      </c>
      <c r="H14">
        <v>80</v>
      </c>
      <c r="I14" s="2">
        <v>46153</v>
      </c>
      <c r="J14">
        <v>119251</v>
      </c>
      <c r="K14" s="5">
        <v>0.9937583333333333</v>
      </c>
      <c r="L14" s="2">
        <v>46153</v>
      </c>
      <c r="M14">
        <v>30</v>
      </c>
      <c r="N14" s="2">
        <v>46153</v>
      </c>
      <c r="V14" s="3">
        <v>92</v>
      </c>
      <c r="X14" s="2">
        <v>46232</v>
      </c>
      <c r="Y14">
        <v>92</v>
      </c>
      <c r="AF14" s="2">
        <v>46192</v>
      </c>
      <c r="AG14">
        <v>720</v>
      </c>
      <c r="AH14">
        <v>80</v>
      </c>
      <c r="AI14" s="2">
        <v>46192</v>
      </c>
      <c r="AJ14">
        <v>119086</v>
      </c>
      <c r="AK14" s="5">
        <v>0.99238333333333328</v>
      </c>
      <c r="AL14" s="2">
        <v>46192</v>
      </c>
      <c r="AM14">
        <v>10</v>
      </c>
      <c r="AN14" s="2">
        <v>46192</v>
      </c>
      <c r="AV14" s="3">
        <v>53</v>
      </c>
      <c r="AX14" s="10">
        <v>46232</v>
      </c>
      <c r="AY14">
        <v>53</v>
      </c>
      <c r="BB14" s="2">
        <v>46153</v>
      </c>
      <c r="BC14">
        <v>80</v>
      </c>
      <c r="BD14">
        <v>30</v>
      </c>
    </row>
    <row r="15" spans="1:56" x14ac:dyDescent="0.3">
      <c r="F15" s="2">
        <v>46154</v>
      </c>
      <c r="G15">
        <v>700</v>
      </c>
      <c r="H15">
        <v>80</v>
      </c>
      <c r="I15" s="2">
        <v>46154</v>
      </c>
      <c r="J15">
        <v>119233</v>
      </c>
      <c r="K15" s="5">
        <v>0.99360833333333332</v>
      </c>
      <c r="L15" s="2">
        <v>46154</v>
      </c>
      <c r="M15">
        <v>18</v>
      </c>
      <c r="N15" s="2">
        <v>46154</v>
      </c>
      <c r="V15" s="3">
        <v>91</v>
      </c>
      <c r="X15" s="2">
        <v>46231</v>
      </c>
      <c r="Y15">
        <v>91</v>
      </c>
      <c r="AF15" s="2">
        <v>46193</v>
      </c>
      <c r="AG15">
        <v>800</v>
      </c>
      <c r="AH15">
        <v>80</v>
      </c>
      <c r="AI15" s="2">
        <v>46193</v>
      </c>
      <c r="AJ15">
        <v>119072</v>
      </c>
      <c r="AK15" s="5">
        <v>0.99226666666666663</v>
      </c>
      <c r="AL15" s="2">
        <v>46193</v>
      </c>
      <c r="AM15">
        <v>14</v>
      </c>
      <c r="AN15" s="2">
        <v>46193</v>
      </c>
      <c r="AV15" s="3">
        <v>52</v>
      </c>
      <c r="AX15" s="10">
        <v>46231</v>
      </c>
      <c r="AY15">
        <v>52</v>
      </c>
      <c r="BB15" s="2">
        <v>46154</v>
      </c>
      <c r="BC15">
        <v>80</v>
      </c>
      <c r="BD15">
        <v>18</v>
      </c>
    </row>
    <row r="16" spans="1:56" x14ac:dyDescent="0.3">
      <c r="F16" s="2">
        <v>46155</v>
      </c>
      <c r="G16">
        <v>780</v>
      </c>
      <c r="H16">
        <v>80</v>
      </c>
      <c r="I16" s="2">
        <v>46155</v>
      </c>
      <c r="J16">
        <v>119233</v>
      </c>
      <c r="K16" s="5">
        <v>0.99360833333333332</v>
      </c>
      <c r="L16" s="2">
        <v>46155</v>
      </c>
      <c r="M16">
        <v>0</v>
      </c>
      <c r="N16" s="2">
        <v>46155</v>
      </c>
      <c r="V16" s="3">
        <v>90</v>
      </c>
      <c r="X16" s="2">
        <v>46230</v>
      </c>
      <c r="Y16">
        <v>90</v>
      </c>
      <c r="AF16" s="2">
        <v>46194</v>
      </c>
      <c r="AG16">
        <v>900</v>
      </c>
      <c r="AH16">
        <v>100</v>
      </c>
      <c r="AI16" s="2">
        <v>46194</v>
      </c>
      <c r="AJ16">
        <v>119057</v>
      </c>
      <c r="AK16" s="5">
        <v>0.9921416666666667</v>
      </c>
      <c r="AL16" s="2">
        <v>46194</v>
      </c>
      <c r="AM16">
        <v>15</v>
      </c>
      <c r="AN16" s="2">
        <v>46194</v>
      </c>
      <c r="AV16" s="3">
        <v>51</v>
      </c>
      <c r="AX16" s="10">
        <v>46230</v>
      </c>
      <c r="AY16">
        <v>51</v>
      </c>
      <c r="BB16" s="2">
        <v>46155</v>
      </c>
      <c r="BC16">
        <v>80</v>
      </c>
      <c r="BD16">
        <v>0</v>
      </c>
    </row>
    <row r="17" spans="6:56" x14ac:dyDescent="0.3">
      <c r="F17" s="2">
        <v>46156</v>
      </c>
      <c r="G17">
        <v>860</v>
      </c>
      <c r="H17">
        <v>80</v>
      </c>
      <c r="I17" s="2">
        <v>46156</v>
      </c>
      <c r="J17">
        <v>119197</v>
      </c>
      <c r="K17" s="5">
        <v>0.99330833333333335</v>
      </c>
      <c r="L17" s="2">
        <v>46156</v>
      </c>
      <c r="M17">
        <v>36</v>
      </c>
      <c r="N17" s="2">
        <v>46156</v>
      </c>
      <c r="V17" s="3">
        <v>89</v>
      </c>
      <c r="X17" s="2">
        <v>46229</v>
      </c>
      <c r="Y17">
        <v>89</v>
      </c>
      <c r="AF17" s="2">
        <v>46195</v>
      </c>
      <c r="AG17">
        <v>1000</v>
      </c>
      <c r="AH17">
        <v>100</v>
      </c>
      <c r="AI17" s="2">
        <v>46195</v>
      </c>
      <c r="AJ17">
        <v>119047</v>
      </c>
      <c r="AK17" s="5">
        <v>0.99205833333333338</v>
      </c>
      <c r="AL17" s="2">
        <v>46195</v>
      </c>
      <c r="AM17">
        <v>10</v>
      </c>
      <c r="AN17" s="2">
        <v>46195</v>
      </c>
      <c r="AV17" s="3">
        <v>50</v>
      </c>
      <c r="AX17" s="10">
        <v>46229</v>
      </c>
      <c r="AY17">
        <v>50</v>
      </c>
      <c r="BB17" s="2">
        <v>46156</v>
      </c>
      <c r="BC17">
        <v>80</v>
      </c>
      <c r="BD17">
        <v>36</v>
      </c>
    </row>
    <row r="18" spans="6:56" x14ac:dyDescent="0.3">
      <c r="F18" s="2">
        <v>46157</v>
      </c>
      <c r="G18">
        <v>940</v>
      </c>
      <c r="H18">
        <v>80</v>
      </c>
      <c r="I18" s="2">
        <v>46157</v>
      </c>
      <c r="J18">
        <v>119167</v>
      </c>
      <c r="K18" s="5">
        <v>0.99305833333333338</v>
      </c>
      <c r="L18" s="2">
        <v>46157</v>
      </c>
      <c r="M18">
        <v>30</v>
      </c>
      <c r="N18" s="2">
        <v>46157</v>
      </c>
      <c r="V18" s="3">
        <v>88</v>
      </c>
      <c r="X18" s="2">
        <v>46228</v>
      </c>
      <c r="Y18">
        <v>88</v>
      </c>
      <c r="AF18" s="2">
        <v>46196</v>
      </c>
      <c r="AG18">
        <v>1100</v>
      </c>
      <c r="AH18">
        <v>100</v>
      </c>
      <c r="AI18" s="2">
        <v>46196</v>
      </c>
      <c r="AJ18">
        <v>119021</v>
      </c>
      <c r="AK18" s="5">
        <v>0.99184166666666662</v>
      </c>
      <c r="AL18" s="2">
        <v>46196</v>
      </c>
      <c r="AM18">
        <v>26</v>
      </c>
      <c r="AN18" s="2">
        <v>46196</v>
      </c>
      <c r="AV18" s="3">
        <v>49</v>
      </c>
      <c r="AX18" s="10">
        <v>46228</v>
      </c>
      <c r="AY18">
        <v>49</v>
      </c>
      <c r="BB18" s="2">
        <v>46157</v>
      </c>
      <c r="BC18">
        <v>80</v>
      </c>
      <c r="BD18">
        <v>30</v>
      </c>
    </row>
    <row r="19" spans="6:56" x14ac:dyDescent="0.3">
      <c r="F19" s="2">
        <v>46158</v>
      </c>
      <c r="G19">
        <v>1020</v>
      </c>
      <c r="H19">
        <v>80</v>
      </c>
      <c r="I19" s="2">
        <v>46158</v>
      </c>
      <c r="J19">
        <v>119147</v>
      </c>
      <c r="K19" s="5">
        <v>0.99289166666666662</v>
      </c>
      <c r="L19" s="2">
        <v>46158</v>
      </c>
      <c r="M19">
        <v>20</v>
      </c>
      <c r="N19" s="2">
        <v>46158</v>
      </c>
      <c r="V19" s="3">
        <v>87</v>
      </c>
      <c r="X19" s="2">
        <v>46227</v>
      </c>
      <c r="Y19">
        <v>87</v>
      </c>
      <c r="AF19" s="2">
        <v>46197</v>
      </c>
      <c r="AG19">
        <v>1220</v>
      </c>
      <c r="AH19">
        <v>120</v>
      </c>
      <c r="AI19" s="2">
        <v>46197</v>
      </c>
      <c r="AJ19">
        <v>118989</v>
      </c>
      <c r="AK19" s="5">
        <v>0.99157499999999998</v>
      </c>
      <c r="AL19" s="2">
        <v>46197</v>
      </c>
      <c r="AM19">
        <v>32</v>
      </c>
      <c r="AN19" s="2">
        <v>46197</v>
      </c>
      <c r="AV19" s="3">
        <v>48</v>
      </c>
      <c r="AX19" s="10">
        <v>46227</v>
      </c>
      <c r="AY19">
        <v>48</v>
      </c>
      <c r="BB19" s="2">
        <v>46158</v>
      </c>
      <c r="BC19">
        <v>80</v>
      </c>
      <c r="BD19">
        <v>20</v>
      </c>
    </row>
    <row r="20" spans="6:56" x14ac:dyDescent="0.3">
      <c r="F20" s="2">
        <v>46159</v>
      </c>
      <c r="G20">
        <v>1100</v>
      </c>
      <c r="H20">
        <v>80</v>
      </c>
      <c r="I20" s="2">
        <v>46159</v>
      </c>
      <c r="J20">
        <v>119087</v>
      </c>
      <c r="K20" s="5">
        <v>0.99239166666666667</v>
      </c>
      <c r="L20" s="2">
        <v>46159</v>
      </c>
      <c r="M20">
        <v>60</v>
      </c>
      <c r="N20" s="2">
        <v>46159</v>
      </c>
      <c r="V20" s="3">
        <v>86</v>
      </c>
      <c r="X20" s="2">
        <v>46226</v>
      </c>
      <c r="Y20">
        <v>86</v>
      </c>
      <c r="AF20" s="2">
        <v>46198</v>
      </c>
      <c r="AG20">
        <v>1340</v>
      </c>
      <c r="AH20">
        <v>120</v>
      </c>
      <c r="AI20" s="2">
        <v>46198</v>
      </c>
      <c r="AJ20">
        <v>118983</v>
      </c>
      <c r="AK20" s="5">
        <v>0.99152499999999999</v>
      </c>
      <c r="AL20" s="2">
        <v>46198</v>
      </c>
      <c r="AM20">
        <v>6</v>
      </c>
      <c r="AN20" s="2">
        <v>46198</v>
      </c>
      <c r="AV20" s="3">
        <v>47</v>
      </c>
      <c r="AX20" s="10">
        <v>46226</v>
      </c>
      <c r="AY20">
        <v>47</v>
      </c>
      <c r="BB20" s="2">
        <v>46159</v>
      </c>
      <c r="BC20">
        <v>80</v>
      </c>
      <c r="BD20">
        <v>60</v>
      </c>
    </row>
    <row r="21" spans="6:56" x14ac:dyDescent="0.3">
      <c r="F21" s="2">
        <v>46160</v>
      </c>
      <c r="G21">
        <v>1200</v>
      </c>
      <c r="H21">
        <v>100</v>
      </c>
      <c r="I21" s="2">
        <v>46160</v>
      </c>
      <c r="J21">
        <v>118979</v>
      </c>
      <c r="K21" s="5">
        <v>0.99149166666666666</v>
      </c>
      <c r="L21" s="2">
        <v>46160</v>
      </c>
      <c r="M21">
        <v>108</v>
      </c>
      <c r="N21" s="2">
        <v>46160</v>
      </c>
      <c r="V21" s="3">
        <v>85</v>
      </c>
      <c r="X21" s="2">
        <v>46225</v>
      </c>
      <c r="Y21">
        <v>85</v>
      </c>
      <c r="AF21" s="2">
        <v>46199</v>
      </c>
      <c r="AG21">
        <v>1460</v>
      </c>
      <c r="AH21">
        <v>120</v>
      </c>
      <c r="AI21" s="2">
        <v>46199</v>
      </c>
      <c r="AJ21">
        <v>118967</v>
      </c>
      <c r="AK21" s="5">
        <v>0.99139166666666667</v>
      </c>
      <c r="AL21" s="2">
        <v>46199</v>
      </c>
      <c r="AM21">
        <v>16</v>
      </c>
      <c r="AN21" s="2">
        <v>46199</v>
      </c>
      <c r="AO21">
        <v>16.8</v>
      </c>
      <c r="AV21" s="3">
        <v>46</v>
      </c>
      <c r="AX21" s="10">
        <v>46225</v>
      </c>
      <c r="AY21">
        <v>46</v>
      </c>
      <c r="BB21" s="2">
        <v>46160</v>
      </c>
      <c r="BC21">
        <v>100</v>
      </c>
      <c r="BD21">
        <v>108</v>
      </c>
    </row>
    <row r="22" spans="6:56" x14ac:dyDescent="0.3">
      <c r="F22" s="2">
        <v>46161</v>
      </c>
      <c r="G22">
        <v>1300</v>
      </c>
      <c r="H22">
        <v>100</v>
      </c>
      <c r="I22" s="2">
        <v>46161</v>
      </c>
      <c r="J22">
        <v>118901</v>
      </c>
      <c r="K22" s="5">
        <v>0.99084166666666662</v>
      </c>
      <c r="L22" s="2">
        <v>46161</v>
      </c>
      <c r="M22">
        <v>78</v>
      </c>
      <c r="N22" s="2">
        <v>46161</v>
      </c>
      <c r="V22" s="3">
        <v>84</v>
      </c>
      <c r="X22" s="2">
        <v>46224</v>
      </c>
      <c r="Y22">
        <v>84</v>
      </c>
      <c r="AF22" s="2">
        <v>46200</v>
      </c>
      <c r="AG22">
        <v>1580</v>
      </c>
      <c r="AH22">
        <v>120</v>
      </c>
      <c r="AI22" s="2">
        <v>46200</v>
      </c>
      <c r="AJ22">
        <v>118923</v>
      </c>
      <c r="AK22" s="5">
        <v>0.99102500000000004</v>
      </c>
      <c r="AL22" s="2">
        <v>46200</v>
      </c>
      <c r="AM22">
        <v>44</v>
      </c>
      <c r="AN22" s="2">
        <v>46200</v>
      </c>
      <c r="AV22" s="3">
        <v>45</v>
      </c>
      <c r="AX22" s="10">
        <v>46224</v>
      </c>
      <c r="AY22">
        <v>45</v>
      </c>
      <c r="BB22" s="2">
        <v>46161</v>
      </c>
      <c r="BC22">
        <v>100</v>
      </c>
      <c r="BD22">
        <v>78</v>
      </c>
    </row>
    <row r="23" spans="6:56" x14ac:dyDescent="0.3">
      <c r="F23" s="2">
        <v>46162</v>
      </c>
      <c r="G23">
        <v>1400</v>
      </c>
      <c r="H23">
        <v>100</v>
      </c>
      <c r="I23" s="2">
        <v>46162</v>
      </c>
      <c r="J23">
        <v>118823</v>
      </c>
      <c r="K23" s="5">
        <v>0.99019166666666669</v>
      </c>
      <c r="L23" s="2">
        <v>46162</v>
      </c>
      <c r="M23">
        <v>78</v>
      </c>
      <c r="N23" s="2">
        <v>46162</v>
      </c>
      <c r="V23" s="3">
        <v>83</v>
      </c>
      <c r="X23" s="2">
        <v>46223</v>
      </c>
      <c r="Y23">
        <v>83</v>
      </c>
      <c r="AF23" s="2">
        <v>46201</v>
      </c>
      <c r="AG23">
        <v>1700</v>
      </c>
      <c r="AH23">
        <v>120</v>
      </c>
      <c r="AI23" s="2">
        <v>46201</v>
      </c>
      <c r="AJ23">
        <v>118909</v>
      </c>
      <c r="AK23" s="5">
        <v>0.99090833333333328</v>
      </c>
      <c r="AL23" s="2">
        <v>46201</v>
      </c>
      <c r="AM23">
        <v>14</v>
      </c>
      <c r="AN23" s="2">
        <v>46201</v>
      </c>
      <c r="AV23" s="3">
        <v>44</v>
      </c>
      <c r="AX23" s="10">
        <v>46223</v>
      </c>
      <c r="AY23">
        <v>44</v>
      </c>
      <c r="BB23" s="2">
        <v>46162</v>
      </c>
      <c r="BC23">
        <v>100</v>
      </c>
      <c r="BD23">
        <v>78</v>
      </c>
    </row>
    <row r="24" spans="6:56" x14ac:dyDescent="0.3">
      <c r="F24" s="2">
        <v>46163</v>
      </c>
      <c r="G24">
        <v>1500</v>
      </c>
      <c r="H24">
        <v>100</v>
      </c>
      <c r="I24" s="2">
        <v>46163</v>
      </c>
      <c r="J24">
        <v>118715</v>
      </c>
      <c r="K24" s="5">
        <v>0.98929166666666668</v>
      </c>
      <c r="L24" s="2">
        <v>46163</v>
      </c>
      <c r="M24">
        <v>108</v>
      </c>
      <c r="N24" s="2">
        <v>46163</v>
      </c>
      <c r="O24">
        <v>33</v>
      </c>
      <c r="V24" s="3">
        <v>82</v>
      </c>
      <c r="X24" s="2">
        <v>46222</v>
      </c>
      <c r="Y24">
        <v>82</v>
      </c>
      <c r="AF24" s="2">
        <v>46202</v>
      </c>
      <c r="AG24">
        <v>1820</v>
      </c>
      <c r="AH24">
        <v>120</v>
      </c>
      <c r="AI24" s="2">
        <v>46202</v>
      </c>
      <c r="AJ24">
        <v>118861</v>
      </c>
      <c r="AK24" s="5">
        <v>0.99050833333333332</v>
      </c>
      <c r="AL24" s="2">
        <v>46202</v>
      </c>
      <c r="AM24">
        <v>48</v>
      </c>
      <c r="AN24" s="2">
        <v>46202</v>
      </c>
      <c r="AV24" s="3">
        <v>43</v>
      </c>
      <c r="AX24" s="10">
        <v>46222</v>
      </c>
      <c r="AY24">
        <v>43</v>
      </c>
      <c r="BB24" s="2">
        <v>46163</v>
      </c>
      <c r="BC24">
        <v>100</v>
      </c>
      <c r="BD24">
        <v>108</v>
      </c>
    </row>
    <row r="25" spans="6:56" x14ac:dyDescent="0.3">
      <c r="F25" s="2">
        <v>46164</v>
      </c>
      <c r="G25">
        <v>1600</v>
      </c>
      <c r="H25">
        <v>100</v>
      </c>
      <c r="I25" s="2">
        <v>46164</v>
      </c>
      <c r="J25">
        <v>118673</v>
      </c>
      <c r="K25" s="5">
        <v>0.98894166666666672</v>
      </c>
      <c r="L25" s="2">
        <v>46164</v>
      </c>
      <c r="M25">
        <v>42</v>
      </c>
      <c r="N25" s="2">
        <v>46164</v>
      </c>
      <c r="V25" s="3">
        <v>81</v>
      </c>
      <c r="X25" s="2">
        <v>46221</v>
      </c>
      <c r="Y25">
        <v>81</v>
      </c>
      <c r="AF25" s="2">
        <v>46203</v>
      </c>
      <c r="AG25">
        <v>1960</v>
      </c>
      <c r="AH25">
        <v>140</v>
      </c>
      <c r="AI25" s="2">
        <v>46203</v>
      </c>
      <c r="AJ25">
        <v>118810</v>
      </c>
      <c r="AK25" s="5">
        <v>0.99008333333333332</v>
      </c>
      <c r="AL25" s="2">
        <v>46203</v>
      </c>
      <c r="AM25">
        <v>51</v>
      </c>
      <c r="AN25" s="2">
        <v>46203</v>
      </c>
      <c r="AV25" s="3">
        <v>42</v>
      </c>
      <c r="AX25" s="10">
        <v>46221</v>
      </c>
      <c r="AY25">
        <v>42</v>
      </c>
      <c r="BB25" s="2">
        <v>46164</v>
      </c>
      <c r="BC25">
        <v>100</v>
      </c>
      <c r="BD25">
        <v>42</v>
      </c>
    </row>
    <row r="26" spans="6:56" x14ac:dyDescent="0.3">
      <c r="F26" s="2">
        <v>46165</v>
      </c>
      <c r="G26">
        <v>1700</v>
      </c>
      <c r="H26">
        <v>100</v>
      </c>
      <c r="I26" s="2">
        <v>46165</v>
      </c>
      <c r="J26">
        <v>118625</v>
      </c>
      <c r="K26" s="5">
        <v>0.98854166666666665</v>
      </c>
      <c r="L26" s="2">
        <v>46165</v>
      </c>
      <c r="M26">
        <v>48</v>
      </c>
      <c r="N26" s="2">
        <v>46165</v>
      </c>
      <c r="V26" s="3">
        <v>80</v>
      </c>
      <c r="X26" s="2">
        <v>46220</v>
      </c>
      <c r="Y26">
        <v>80</v>
      </c>
      <c r="AF26" s="2">
        <v>46204</v>
      </c>
      <c r="AG26">
        <v>2120</v>
      </c>
      <c r="AH26">
        <v>160</v>
      </c>
      <c r="AI26" s="2">
        <v>46204</v>
      </c>
      <c r="AJ26">
        <v>118643</v>
      </c>
      <c r="AK26" s="5">
        <v>0.98869166666666664</v>
      </c>
      <c r="AL26" s="2">
        <v>46204</v>
      </c>
      <c r="AM26">
        <v>167</v>
      </c>
      <c r="AN26" s="2">
        <v>46204</v>
      </c>
      <c r="AV26" s="3">
        <v>41</v>
      </c>
      <c r="AX26" s="10">
        <v>46220</v>
      </c>
      <c r="AY26">
        <v>41</v>
      </c>
      <c r="BB26" s="2">
        <v>46165</v>
      </c>
      <c r="BC26">
        <v>100</v>
      </c>
      <c r="BD26">
        <v>48</v>
      </c>
    </row>
    <row r="27" spans="6:56" x14ac:dyDescent="0.3">
      <c r="F27" s="2">
        <v>46166</v>
      </c>
      <c r="G27">
        <v>1800</v>
      </c>
      <c r="H27">
        <v>100</v>
      </c>
      <c r="I27" s="2">
        <v>46166</v>
      </c>
      <c r="J27">
        <v>118611</v>
      </c>
      <c r="K27" s="5">
        <v>0.988425</v>
      </c>
      <c r="L27" s="2">
        <v>46166</v>
      </c>
      <c r="M27">
        <v>14</v>
      </c>
      <c r="N27" s="2">
        <v>46166</v>
      </c>
      <c r="V27" s="3">
        <v>79</v>
      </c>
      <c r="X27" s="2">
        <v>46219</v>
      </c>
      <c r="Y27">
        <v>79</v>
      </c>
      <c r="AF27" s="2">
        <v>46205</v>
      </c>
      <c r="AG27">
        <v>2120</v>
      </c>
      <c r="AH27">
        <v>0</v>
      </c>
      <c r="AI27" s="2">
        <v>46205</v>
      </c>
      <c r="AJ27">
        <v>118643</v>
      </c>
      <c r="AK27" s="5">
        <v>0.98869166666666664</v>
      </c>
      <c r="AL27" s="2">
        <v>46205</v>
      </c>
      <c r="AN27" s="2">
        <v>46205</v>
      </c>
      <c r="AV27" s="3">
        <v>40</v>
      </c>
      <c r="AX27" s="10">
        <v>46219</v>
      </c>
      <c r="AY27">
        <v>40</v>
      </c>
      <c r="BB27" s="2">
        <v>46166</v>
      </c>
      <c r="BC27">
        <v>100</v>
      </c>
      <c r="BD27">
        <v>14</v>
      </c>
    </row>
    <row r="28" spans="6:56" x14ac:dyDescent="0.3">
      <c r="F28" s="2">
        <v>46167</v>
      </c>
      <c r="G28">
        <v>1900</v>
      </c>
      <c r="H28">
        <v>100</v>
      </c>
      <c r="I28" s="2">
        <v>46167</v>
      </c>
      <c r="J28">
        <v>118601</v>
      </c>
      <c r="K28" s="5">
        <v>0.98834166666666667</v>
      </c>
      <c r="L28" s="2">
        <v>46167</v>
      </c>
      <c r="M28">
        <v>10</v>
      </c>
      <c r="N28" s="2">
        <v>46167</v>
      </c>
      <c r="V28" s="3">
        <v>78</v>
      </c>
      <c r="X28" s="2">
        <v>46218</v>
      </c>
      <c r="Y28">
        <v>78</v>
      </c>
      <c r="AF28" s="2">
        <v>46206</v>
      </c>
      <c r="AG28">
        <v>2280</v>
      </c>
      <c r="AH28">
        <v>160</v>
      </c>
      <c r="AI28" s="2">
        <v>46206</v>
      </c>
      <c r="AJ28">
        <v>118435</v>
      </c>
      <c r="AK28" s="5">
        <v>0.98695833333333338</v>
      </c>
      <c r="AL28" s="2">
        <v>46206</v>
      </c>
      <c r="AM28">
        <v>208</v>
      </c>
      <c r="AN28" s="2">
        <v>46206</v>
      </c>
      <c r="AV28" s="3">
        <v>39</v>
      </c>
      <c r="AX28" s="10">
        <v>46218</v>
      </c>
      <c r="AY28">
        <v>39</v>
      </c>
      <c r="BB28" s="2">
        <v>46167</v>
      </c>
      <c r="BC28">
        <v>100</v>
      </c>
      <c r="BD28">
        <v>10</v>
      </c>
    </row>
    <row r="29" spans="6:56" x14ac:dyDescent="0.3">
      <c r="F29" s="2">
        <v>46168</v>
      </c>
      <c r="G29">
        <v>2000</v>
      </c>
      <c r="H29">
        <v>100</v>
      </c>
      <c r="I29" s="2">
        <v>46168</v>
      </c>
      <c r="J29">
        <v>118587</v>
      </c>
      <c r="K29" s="5">
        <v>0.98822500000000002</v>
      </c>
      <c r="L29" s="2">
        <v>46168</v>
      </c>
      <c r="M29">
        <v>14</v>
      </c>
      <c r="N29" s="2">
        <v>46168</v>
      </c>
      <c r="V29" s="3">
        <v>77</v>
      </c>
      <c r="X29" s="2">
        <v>46217</v>
      </c>
      <c r="Y29">
        <v>77</v>
      </c>
      <c r="AF29" s="2">
        <v>46207</v>
      </c>
      <c r="AG29">
        <v>2380</v>
      </c>
      <c r="AH29">
        <v>100</v>
      </c>
      <c r="AI29" s="2">
        <v>46207</v>
      </c>
      <c r="AJ29">
        <v>118293</v>
      </c>
      <c r="AK29" s="5">
        <v>0.98577499999999996</v>
      </c>
      <c r="AL29" s="2">
        <v>46207</v>
      </c>
      <c r="AM29">
        <v>142</v>
      </c>
      <c r="AN29" s="2">
        <v>46207</v>
      </c>
      <c r="AV29" s="3">
        <v>38</v>
      </c>
      <c r="AX29" s="10">
        <v>46217</v>
      </c>
      <c r="AY29">
        <v>38</v>
      </c>
      <c r="BB29" s="2">
        <v>46168</v>
      </c>
      <c r="BC29">
        <v>100</v>
      </c>
      <c r="BD29">
        <v>14</v>
      </c>
    </row>
    <row r="30" spans="6:56" x14ac:dyDescent="0.3">
      <c r="F30" s="2">
        <v>46169</v>
      </c>
      <c r="G30">
        <v>2100</v>
      </c>
      <c r="H30">
        <v>100</v>
      </c>
      <c r="I30" s="2">
        <v>46169</v>
      </c>
      <c r="J30">
        <v>118555</v>
      </c>
      <c r="K30" s="5">
        <v>0.98795833333333338</v>
      </c>
      <c r="L30" s="2">
        <v>46169</v>
      </c>
      <c r="M30">
        <v>32</v>
      </c>
      <c r="N30" s="2">
        <v>46169</v>
      </c>
      <c r="V30" s="3">
        <v>76</v>
      </c>
      <c r="X30" s="2">
        <v>46216</v>
      </c>
      <c r="Y30">
        <v>76</v>
      </c>
      <c r="AF30" s="2">
        <v>46208</v>
      </c>
      <c r="AG30">
        <v>2580</v>
      </c>
      <c r="AH30">
        <v>200</v>
      </c>
      <c r="AI30" s="2">
        <v>46208</v>
      </c>
      <c r="AJ30">
        <v>118022</v>
      </c>
      <c r="AK30" s="5">
        <v>0.98351666666666671</v>
      </c>
      <c r="AL30" s="2">
        <v>46208</v>
      </c>
      <c r="AM30">
        <v>271</v>
      </c>
      <c r="AN30" s="2">
        <v>46208</v>
      </c>
      <c r="AV30" s="3">
        <v>37</v>
      </c>
      <c r="AX30" s="10">
        <v>46216</v>
      </c>
      <c r="AY30">
        <v>37</v>
      </c>
      <c r="BB30" s="2">
        <v>46169</v>
      </c>
      <c r="BC30">
        <v>100</v>
      </c>
      <c r="BD30">
        <v>32</v>
      </c>
    </row>
    <row r="31" spans="6:56" x14ac:dyDescent="0.3">
      <c r="F31" s="2">
        <v>46170</v>
      </c>
      <c r="G31">
        <v>2200</v>
      </c>
      <c r="H31">
        <v>100</v>
      </c>
      <c r="I31" s="2">
        <v>46170</v>
      </c>
      <c r="J31">
        <v>118527</v>
      </c>
      <c r="K31" s="5">
        <v>0.98772499999999996</v>
      </c>
      <c r="L31" s="2">
        <v>46170</v>
      </c>
      <c r="M31">
        <v>28</v>
      </c>
      <c r="N31" s="2">
        <v>46170</v>
      </c>
      <c r="V31" s="3">
        <v>75</v>
      </c>
      <c r="X31" s="2">
        <v>46215</v>
      </c>
      <c r="Y31">
        <v>75</v>
      </c>
      <c r="AF31" s="2">
        <v>46209</v>
      </c>
      <c r="AG31">
        <v>2780</v>
      </c>
      <c r="AH31">
        <v>200</v>
      </c>
      <c r="AI31" s="2">
        <v>46209</v>
      </c>
      <c r="AJ31">
        <v>117939</v>
      </c>
      <c r="AK31" s="5">
        <v>0.98282499999999995</v>
      </c>
      <c r="AL31" s="2">
        <v>46209</v>
      </c>
      <c r="AM31">
        <v>83</v>
      </c>
      <c r="AN31" s="2">
        <v>46209</v>
      </c>
      <c r="AO31">
        <v>23.8</v>
      </c>
      <c r="AV31" s="3">
        <v>36</v>
      </c>
      <c r="AX31" s="10">
        <v>46215</v>
      </c>
      <c r="AY31">
        <v>36</v>
      </c>
      <c r="BB31" s="2">
        <v>46170</v>
      </c>
      <c r="BC31">
        <v>100</v>
      </c>
      <c r="BD31">
        <v>28</v>
      </c>
    </row>
    <row r="32" spans="6:56" x14ac:dyDescent="0.3">
      <c r="F32" s="2">
        <v>46171</v>
      </c>
      <c r="G32">
        <v>2300</v>
      </c>
      <c r="H32">
        <v>100</v>
      </c>
      <c r="I32" s="2">
        <v>46171</v>
      </c>
      <c r="J32">
        <v>118499</v>
      </c>
      <c r="K32" s="5">
        <v>0.98749166666666666</v>
      </c>
      <c r="L32" s="2">
        <v>46171</v>
      </c>
      <c r="M32">
        <v>28</v>
      </c>
      <c r="N32" s="2">
        <v>46171</v>
      </c>
      <c r="V32" s="3">
        <v>74</v>
      </c>
      <c r="X32" s="2">
        <v>46214</v>
      </c>
      <c r="Y32">
        <v>74</v>
      </c>
      <c r="AF32" s="2">
        <v>46210</v>
      </c>
      <c r="AG32">
        <v>3000</v>
      </c>
      <c r="AH32">
        <v>220</v>
      </c>
      <c r="AI32" s="2">
        <v>46210</v>
      </c>
      <c r="AJ32">
        <v>117925</v>
      </c>
      <c r="AK32" s="5">
        <v>0.98270833333333329</v>
      </c>
      <c r="AL32" s="2">
        <v>46210</v>
      </c>
      <c r="AM32">
        <v>14</v>
      </c>
      <c r="AN32" s="2">
        <v>46210</v>
      </c>
      <c r="AV32" s="3">
        <v>35</v>
      </c>
      <c r="AX32" s="10">
        <v>46214</v>
      </c>
      <c r="AY32">
        <v>35</v>
      </c>
      <c r="BB32" s="2">
        <v>46171</v>
      </c>
      <c r="BC32">
        <v>100</v>
      </c>
      <c r="BD32">
        <v>28</v>
      </c>
    </row>
    <row r="33" spans="6:56" x14ac:dyDescent="0.3">
      <c r="F33" s="2">
        <v>46172</v>
      </c>
      <c r="G33">
        <v>2420</v>
      </c>
      <c r="H33">
        <v>120</v>
      </c>
      <c r="I33" s="2">
        <v>46172</v>
      </c>
      <c r="J33">
        <v>118471</v>
      </c>
      <c r="K33" s="5">
        <v>0.98725833333333335</v>
      </c>
      <c r="L33" s="2">
        <v>46172</v>
      </c>
      <c r="M33">
        <v>28</v>
      </c>
      <c r="N33" s="2">
        <v>46172</v>
      </c>
      <c r="V33" s="3">
        <v>73</v>
      </c>
      <c r="X33" s="2">
        <v>46213</v>
      </c>
      <c r="Y33">
        <v>73</v>
      </c>
      <c r="AF33" s="2">
        <v>46211</v>
      </c>
      <c r="AG33">
        <v>3220</v>
      </c>
      <c r="AH33">
        <v>220</v>
      </c>
      <c r="AI33" s="2">
        <v>46211</v>
      </c>
      <c r="AJ33">
        <v>117859</v>
      </c>
      <c r="AK33" s="5">
        <v>0.98215833333333336</v>
      </c>
      <c r="AL33" s="2">
        <v>46211</v>
      </c>
      <c r="AM33">
        <v>66</v>
      </c>
      <c r="AN33" s="2">
        <v>46211</v>
      </c>
      <c r="AV33" s="3">
        <v>34</v>
      </c>
      <c r="AX33" s="10">
        <v>46213</v>
      </c>
      <c r="AY33">
        <v>34</v>
      </c>
      <c r="BB33" s="2">
        <v>46172</v>
      </c>
      <c r="BC33">
        <v>120</v>
      </c>
      <c r="BD33">
        <v>28</v>
      </c>
    </row>
    <row r="34" spans="6:56" x14ac:dyDescent="0.3">
      <c r="F34" s="2">
        <v>46173</v>
      </c>
      <c r="G34">
        <v>2540</v>
      </c>
      <c r="H34">
        <v>120</v>
      </c>
      <c r="I34" s="2">
        <v>46173</v>
      </c>
      <c r="J34">
        <v>118443</v>
      </c>
      <c r="K34" s="5">
        <v>0.98702500000000004</v>
      </c>
      <c r="L34" s="2">
        <v>46173</v>
      </c>
      <c r="M34">
        <v>28</v>
      </c>
      <c r="N34" s="2">
        <v>46173</v>
      </c>
      <c r="V34" s="3">
        <v>72</v>
      </c>
      <c r="X34" s="2">
        <v>46212</v>
      </c>
      <c r="Y34">
        <v>72</v>
      </c>
      <c r="AF34" s="2">
        <v>46212</v>
      </c>
      <c r="AG34">
        <v>3420</v>
      </c>
      <c r="AH34">
        <v>200</v>
      </c>
      <c r="AI34" s="2">
        <v>46212</v>
      </c>
      <c r="AJ34">
        <v>117797</v>
      </c>
      <c r="AK34" s="5">
        <v>0.98164166666666663</v>
      </c>
      <c r="AL34" s="2">
        <v>46212</v>
      </c>
      <c r="AM34">
        <v>62</v>
      </c>
      <c r="AN34" s="2">
        <v>46212</v>
      </c>
      <c r="AV34" s="3">
        <v>33</v>
      </c>
      <c r="AX34" s="10">
        <v>46212</v>
      </c>
      <c r="AY34">
        <v>33</v>
      </c>
      <c r="BB34" s="2">
        <v>46173</v>
      </c>
      <c r="BC34">
        <v>120</v>
      </c>
      <c r="BD34">
        <v>28</v>
      </c>
    </row>
    <row r="35" spans="6:56" x14ac:dyDescent="0.3">
      <c r="F35" s="2">
        <v>46174</v>
      </c>
      <c r="G35">
        <v>2660</v>
      </c>
      <c r="H35">
        <v>120</v>
      </c>
      <c r="I35" s="2">
        <v>46174</v>
      </c>
      <c r="J35">
        <v>118415</v>
      </c>
      <c r="K35" s="5">
        <v>0.98679166666666662</v>
      </c>
      <c r="L35" s="2">
        <v>46174</v>
      </c>
      <c r="M35">
        <v>28</v>
      </c>
      <c r="N35" s="2">
        <v>46174</v>
      </c>
      <c r="O35">
        <v>36</v>
      </c>
      <c r="V35" s="3">
        <v>71</v>
      </c>
      <c r="X35" s="2">
        <v>46211</v>
      </c>
      <c r="Y35">
        <v>71</v>
      </c>
      <c r="AF35" s="2">
        <v>46213</v>
      </c>
      <c r="AG35">
        <v>3620</v>
      </c>
      <c r="AH35">
        <v>200</v>
      </c>
      <c r="AI35" s="2">
        <v>46213</v>
      </c>
      <c r="AJ35">
        <v>117639</v>
      </c>
      <c r="AK35" s="5">
        <v>0.980325</v>
      </c>
      <c r="AL35" s="2">
        <v>46213</v>
      </c>
      <c r="AM35">
        <v>158</v>
      </c>
      <c r="AN35" s="2">
        <v>46213</v>
      </c>
      <c r="AV35" s="3">
        <v>32</v>
      </c>
      <c r="AX35" s="10">
        <v>46211</v>
      </c>
      <c r="AY35">
        <v>32</v>
      </c>
      <c r="BB35" s="2">
        <v>46174</v>
      </c>
      <c r="BC35">
        <v>120</v>
      </c>
      <c r="BD35">
        <v>28</v>
      </c>
    </row>
    <row r="36" spans="6:56" x14ac:dyDescent="0.3">
      <c r="F36" s="2">
        <v>46175</v>
      </c>
      <c r="G36">
        <v>2780</v>
      </c>
      <c r="H36">
        <v>120</v>
      </c>
      <c r="I36" s="2">
        <v>46175</v>
      </c>
      <c r="J36">
        <v>118357</v>
      </c>
      <c r="K36" s="5">
        <v>0.98630833333333334</v>
      </c>
      <c r="L36" s="2">
        <v>46175</v>
      </c>
      <c r="M36">
        <v>58</v>
      </c>
      <c r="N36" s="2">
        <v>46175</v>
      </c>
      <c r="V36" s="3">
        <v>70</v>
      </c>
      <c r="X36" s="2">
        <v>46210</v>
      </c>
      <c r="Y36">
        <v>70</v>
      </c>
      <c r="AF36" s="2">
        <v>46214</v>
      </c>
      <c r="AG36">
        <v>3800</v>
      </c>
      <c r="AH36">
        <v>180</v>
      </c>
      <c r="AI36" s="2">
        <v>46214</v>
      </c>
      <c r="AJ36">
        <v>117477</v>
      </c>
      <c r="AK36" s="5">
        <v>0.97897500000000004</v>
      </c>
      <c r="AL36" s="2">
        <v>46214</v>
      </c>
      <c r="AM36">
        <v>162</v>
      </c>
      <c r="AN36" s="2">
        <v>46214</v>
      </c>
      <c r="AV36" s="3">
        <v>31</v>
      </c>
      <c r="AX36" s="10">
        <v>46210</v>
      </c>
      <c r="AY36">
        <v>31</v>
      </c>
      <c r="BB36" s="2">
        <v>46175</v>
      </c>
      <c r="BC36">
        <v>120</v>
      </c>
      <c r="BD36">
        <v>58</v>
      </c>
    </row>
    <row r="37" spans="6:56" x14ac:dyDescent="0.3">
      <c r="F37" s="2">
        <v>46176</v>
      </c>
      <c r="G37">
        <v>2900</v>
      </c>
      <c r="H37">
        <v>120</v>
      </c>
      <c r="I37" s="2">
        <v>46176</v>
      </c>
      <c r="J37">
        <v>118321</v>
      </c>
      <c r="K37" s="5">
        <v>0.98600833333333338</v>
      </c>
      <c r="L37" s="2">
        <v>46176</v>
      </c>
      <c r="M37">
        <v>36</v>
      </c>
      <c r="N37" s="2">
        <v>46176</v>
      </c>
      <c r="V37" s="3">
        <v>69</v>
      </c>
      <c r="X37" s="2">
        <v>46209</v>
      </c>
      <c r="Y37">
        <v>69</v>
      </c>
      <c r="AF37" s="2">
        <v>46215</v>
      </c>
      <c r="AG37">
        <v>3960</v>
      </c>
      <c r="AH37">
        <v>160</v>
      </c>
      <c r="AI37" s="2">
        <v>46215</v>
      </c>
      <c r="AJ37">
        <v>117383</v>
      </c>
      <c r="AK37" s="5">
        <v>0.97819166666666668</v>
      </c>
      <c r="AL37" s="2">
        <v>46215</v>
      </c>
      <c r="AM37">
        <v>94</v>
      </c>
      <c r="AN37" s="2">
        <v>46215</v>
      </c>
      <c r="AV37" s="3">
        <v>30</v>
      </c>
      <c r="AW37">
        <v>0.99039946658082245</v>
      </c>
      <c r="AX37" s="10">
        <v>46209</v>
      </c>
      <c r="AY37">
        <v>30</v>
      </c>
      <c r="BB37" s="2">
        <v>46176</v>
      </c>
      <c r="BC37">
        <v>120</v>
      </c>
      <c r="BD37">
        <v>36</v>
      </c>
    </row>
    <row r="38" spans="6:56" x14ac:dyDescent="0.3">
      <c r="F38" s="2">
        <v>46177</v>
      </c>
      <c r="G38">
        <v>3020</v>
      </c>
      <c r="H38">
        <v>120</v>
      </c>
      <c r="I38" s="2">
        <v>46177</v>
      </c>
      <c r="J38">
        <v>118283</v>
      </c>
      <c r="K38" s="5">
        <v>0.98569166666666663</v>
      </c>
      <c r="L38" s="2">
        <v>46177</v>
      </c>
      <c r="M38">
        <v>38</v>
      </c>
      <c r="N38" s="2">
        <v>46177</v>
      </c>
      <c r="V38" s="3">
        <v>68</v>
      </c>
      <c r="X38" s="2">
        <v>46208</v>
      </c>
      <c r="Y38">
        <v>68</v>
      </c>
      <c r="AF38" s="2">
        <v>46216</v>
      </c>
      <c r="AG38">
        <v>4120</v>
      </c>
      <c r="AH38">
        <v>160</v>
      </c>
      <c r="AI38" s="2">
        <v>46216</v>
      </c>
      <c r="AJ38">
        <v>117352</v>
      </c>
      <c r="AK38" s="5">
        <v>0.97793333333333332</v>
      </c>
      <c r="AL38" s="2">
        <v>46216</v>
      </c>
      <c r="AM38">
        <v>31</v>
      </c>
      <c r="AN38" s="2">
        <v>46216</v>
      </c>
      <c r="AV38" s="3">
        <v>29</v>
      </c>
      <c r="AX38" s="10">
        <v>46208</v>
      </c>
      <c r="AY38">
        <v>29</v>
      </c>
      <c r="BB38" s="2">
        <v>46177</v>
      </c>
      <c r="BC38">
        <v>120</v>
      </c>
      <c r="BD38">
        <v>38</v>
      </c>
    </row>
    <row r="39" spans="6:56" x14ac:dyDescent="0.3">
      <c r="F39" s="2">
        <v>46178</v>
      </c>
      <c r="G39">
        <v>3160</v>
      </c>
      <c r="H39">
        <v>140</v>
      </c>
      <c r="I39" s="2">
        <v>46178</v>
      </c>
      <c r="J39">
        <v>118199</v>
      </c>
      <c r="K39" s="5">
        <v>0.98499166666666671</v>
      </c>
      <c r="L39" s="2">
        <v>46178</v>
      </c>
      <c r="M39">
        <v>84</v>
      </c>
      <c r="N39" s="2">
        <v>46178</v>
      </c>
      <c r="V39" s="3">
        <v>67</v>
      </c>
      <c r="X39" s="2">
        <v>46207</v>
      </c>
      <c r="Y39">
        <v>67</v>
      </c>
      <c r="AF39" s="2">
        <v>46217</v>
      </c>
      <c r="AG39">
        <v>4240</v>
      </c>
      <c r="AH39">
        <v>120</v>
      </c>
      <c r="AI39" s="2">
        <v>46217</v>
      </c>
      <c r="AJ39">
        <v>116916</v>
      </c>
      <c r="AK39" s="5">
        <v>0.97430000000000005</v>
      </c>
      <c r="AL39" s="2">
        <v>46217</v>
      </c>
      <c r="AM39">
        <v>436</v>
      </c>
      <c r="AN39" s="2">
        <v>46217</v>
      </c>
      <c r="AV39" s="3">
        <v>28</v>
      </c>
      <c r="AX39" s="10">
        <v>46207</v>
      </c>
      <c r="AY39">
        <v>28</v>
      </c>
      <c r="BB39" s="2">
        <v>46178</v>
      </c>
      <c r="BC39">
        <v>140</v>
      </c>
      <c r="BD39">
        <v>84</v>
      </c>
    </row>
    <row r="40" spans="6:56" x14ac:dyDescent="0.3">
      <c r="F40" s="2">
        <v>46179</v>
      </c>
      <c r="G40">
        <v>3300</v>
      </c>
      <c r="H40">
        <v>140</v>
      </c>
      <c r="I40" s="2">
        <v>46179</v>
      </c>
      <c r="J40">
        <v>118189</v>
      </c>
      <c r="K40" s="5">
        <v>0.98490833333333339</v>
      </c>
      <c r="L40" s="2">
        <v>46179</v>
      </c>
      <c r="M40">
        <v>10</v>
      </c>
      <c r="N40" s="2">
        <v>46179</v>
      </c>
      <c r="V40" s="3">
        <v>66</v>
      </c>
      <c r="X40" s="2">
        <v>46206</v>
      </c>
      <c r="Y40">
        <v>66</v>
      </c>
      <c r="AF40" s="2">
        <v>46218</v>
      </c>
      <c r="AG40">
        <v>4360</v>
      </c>
      <c r="AH40">
        <v>120</v>
      </c>
      <c r="AI40" s="2">
        <v>46218</v>
      </c>
      <c r="AJ40">
        <v>116311</v>
      </c>
      <c r="AK40" s="5">
        <v>0.96925833333333333</v>
      </c>
      <c r="AL40" s="2">
        <v>46218</v>
      </c>
      <c r="AM40">
        <v>605</v>
      </c>
      <c r="AN40" s="2">
        <v>46218</v>
      </c>
      <c r="AV40" s="3">
        <v>27</v>
      </c>
      <c r="AX40" s="10">
        <v>46206</v>
      </c>
      <c r="AY40">
        <v>27</v>
      </c>
      <c r="BB40" s="2">
        <v>46179</v>
      </c>
      <c r="BC40">
        <v>140</v>
      </c>
      <c r="BD40">
        <v>10</v>
      </c>
    </row>
    <row r="41" spans="6:56" x14ac:dyDescent="0.3">
      <c r="F41" s="2">
        <v>46180</v>
      </c>
      <c r="G41">
        <v>3440</v>
      </c>
      <c r="H41">
        <v>140</v>
      </c>
      <c r="I41" s="2">
        <v>46180</v>
      </c>
      <c r="J41">
        <v>118131</v>
      </c>
      <c r="K41" s="5">
        <v>0.98442499999999999</v>
      </c>
      <c r="L41" s="2">
        <v>46180</v>
      </c>
      <c r="M41">
        <v>58</v>
      </c>
      <c r="N41" s="2">
        <v>46180</v>
      </c>
      <c r="V41" s="3">
        <v>65</v>
      </c>
      <c r="X41" s="2">
        <v>46205</v>
      </c>
      <c r="Y41">
        <v>65</v>
      </c>
      <c r="AF41" s="2">
        <v>46219</v>
      </c>
      <c r="AG41">
        <v>4440</v>
      </c>
      <c r="AH41">
        <v>80</v>
      </c>
      <c r="AI41" s="2">
        <v>46219</v>
      </c>
      <c r="AJ41">
        <v>116076</v>
      </c>
      <c r="AK41" s="5">
        <v>0.96730000000000005</v>
      </c>
      <c r="AL41" s="2">
        <v>46219</v>
      </c>
      <c r="AM41">
        <v>235</v>
      </c>
      <c r="AN41" s="2">
        <v>46219</v>
      </c>
      <c r="AV41" s="3">
        <v>26</v>
      </c>
      <c r="AX41" s="10">
        <v>46205</v>
      </c>
      <c r="AY41">
        <v>26</v>
      </c>
      <c r="BB41" s="2">
        <v>46180</v>
      </c>
      <c r="BC41">
        <v>140</v>
      </c>
      <c r="BD41">
        <v>58</v>
      </c>
    </row>
    <row r="42" spans="6:56" x14ac:dyDescent="0.3">
      <c r="F42" s="2">
        <v>46181</v>
      </c>
      <c r="G42">
        <v>3600</v>
      </c>
      <c r="H42">
        <v>160</v>
      </c>
      <c r="I42" s="2">
        <v>46181</v>
      </c>
      <c r="J42">
        <v>118061</v>
      </c>
      <c r="K42" s="5">
        <v>0.98384166666666661</v>
      </c>
      <c r="L42" s="2">
        <v>46181</v>
      </c>
      <c r="M42">
        <v>70</v>
      </c>
      <c r="N42" s="2">
        <v>46181</v>
      </c>
      <c r="V42" s="3">
        <v>64</v>
      </c>
      <c r="W42">
        <v>0.83252926587739928</v>
      </c>
      <c r="X42" s="2">
        <v>46204</v>
      </c>
      <c r="Y42">
        <v>64</v>
      </c>
      <c r="AF42" s="2">
        <v>46220</v>
      </c>
      <c r="AG42">
        <v>4520</v>
      </c>
      <c r="AH42">
        <v>80</v>
      </c>
      <c r="AI42" s="2">
        <v>46220</v>
      </c>
      <c r="AJ42">
        <v>115775</v>
      </c>
      <c r="AK42" s="5">
        <v>0.96479166666666671</v>
      </c>
      <c r="AL42" s="2">
        <v>46220</v>
      </c>
      <c r="AM42">
        <v>301</v>
      </c>
      <c r="AN42" s="2">
        <v>46220</v>
      </c>
      <c r="AV42" s="3">
        <v>25</v>
      </c>
      <c r="AX42" s="10">
        <v>46204</v>
      </c>
      <c r="AY42">
        <v>25</v>
      </c>
      <c r="BB42" s="2">
        <v>46181</v>
      </c>
      <c r="BC42">
        <v>160</v>
      </c>
      <c r="BD42">
        <v>70</v>
      </c>
    </row>
    <row r="43" spans="6:56" x14ac:dyDescent="0.3">
      <c r="F43" s="2">
        <v>46182</v>
      </c>
      <c r="G43">
        <v>3760</v>
      </c>
      <c r="H43">
        <v>160</v>
      </c>
      <c r="I43" s="2">
        <v>46182</v>
      </c>
      <c r="J43">
        <v>117924</v>
      </c>
      <c r="K43" s="5">
        <v>0.98270000000000002</v>
      </c>
      <c r="L43" s="2">
        <v>46182</v>
      </c>
      <c r="M43">
        <v>137</v>
      </c>
      <c r="N43" s="2">
        <v>46182</v>
      </c>
      <c r="V43" s="3">
        <v>63</v>
      </c>
      <c r="X43" s="2">
        <v>46203</v>
      </c>
      <c r="Y43">
        <v>63</v>
      </c>
      <c r="AF43" s="2">
        <v>46221</v>
      </c>
      <c r="AG43">
        <v>4540</v>
      </c>
      <c r="AH43">
        <v>20</v>
      </c>
      <c r="AI43" s="2">
        <v>46221</v>
      </c>
      <c r="AJ43">
        <v>115518</v>
      </c>
      <c r="AK43" s="5">
        <v>0.96265000000000001</v>
      </c>
      <c r="AL43" s="2">
        <v>46221</v>
      </c>
      <c r="AM43">
        <v>257</v>
      </c>
      <c r="AN43" s="2">
        <v>46221</v>
      </c>
      <c r="AV43" s="3">
        <v>24</v>
      </c>
      <c r="AX43" s="10">
        <v>46203</v>
      </c>
      <c r="AY43">
        <v>24</v>
      </c>
      <c r="BB43" s="2">
        <v>46182</v>
      </c>
      <c r="BC43">
        <v>160</v>
      </c>
      <c r="BD43">
        <v>137</v>
      </c>
    </row>
    <row r="44" spans="6:56" x14ac:dyDescent="0.3">
      <c r="F44" s="2">
        <v>46183</v>
      </c>
      <c r="G44">
        <v>3920</v>
      </c>
      <c r="H44">
        <v>160</v>
      </c>
      <c r="I44" s="2">
        <v>46183</v>
      </c>
      <c r="J44">
        <v>117850</v>
      </c>
      <c r="K44" s="5">
        <v>0.98208333333333331</v>
      </c>
      <c r="L44" s="2">
        <v>46183</v>
      </c>
      <c r="M44">
        <v>74</v>
      </c>
      <c r="N44" s="2">
        <v>46183</v>
      </c>
      <c r="V44" s="3">
        <v>62</v>
      </c>
      <c r="X44" s="2">
        <v>46202</v>
      </c>
      <c r="Y44">
        <v>62</v>
      </c>
      <c r="AF44" s="2">
        <v>46222</v>
      </c>
      <c r="AG44">
        <v>4600</v>
      </c>
      <c r="AH44">
        <v>60</v>
      </c>
      <c r="AI44" s="2">
        <v>46222</v>
      </c>
      <c r="AJ44">
        <v>115139</v>
      </c>
      <c r="AK44" s="5">
        <v>0.95949166666666663</v>
      </c>
      <c r="AL44" s="2">
        <v>46222</v>
      </c>
      <c r="AM44">
        <v>379</v>
      </c>
      <c r="AN44" s="2">
        <v>46222</v>
      </c>
      <c r="AV44" s="3">
        <v>23</v>
      </c>
      <c r="AX44" s="10">
        <v>46202</v>
      </c>
      <c r="AY44">
        <v>23</v>
      </c>
      <c r="BB44" s="2">
        <v>46183</v>
      </c>
      <c r="BC44">
        <v>160</v>
      </c>
      <c r="BD44">
        <v>74</v>
      </c>
    </row>
    <row r="45" spans="6:56" x14ac:dyDescent="0.3">
      <c r="F45" s="2">
        <v>46184</v>
      </c>
      <c r="G45">
        <v>4080</v>
      </c>
      <c r="H45">
        <v>160</v>
      </c>
      <c r="I45" s="2">
        <v>46184</v>
      </c>
      <c r="J45">
        <v>117727</v>
      </c>
      <c r="K45" s="5">
        <v>0.98105833333333337</v>
      </c>
      <c r="L45" s="2">
        <v>46184</v>
      </c>
      <c r="M45">
        <v>123</v>
      </c>
      <c r="N45" s="2">
        <v>46184</v>
      </c>
      <c r="O45">
        <v>47</v>
      </c>
      <c r="V45" s="3">
        <v>61</v>
      </c>
      <c r="X45" s="2">
        <v>46201</v>
      </c>
      <c r="Y45">
        <v>61</v>
      </c>
      <c r="AF45" s="2">
        <v>46223</v>
      </c>
      <c r="AG45">
        <v>4760</v>
      </c>
      <c r="AH45">
        <v>160</v>
      </c>
      <c r="AI45" s="2">
        <v>46223</v>
      </c>
      <c r="AJ45">
        <v>114930</v>
      </c>
      <c r="AK45" s="5">
        <v>0.95774999999999999</v>
      </c>
      <c r="AL45" s="2">
        <v>46223</v>
      </c>
      <c r="AM45">
        <v>209</v>
      </c>
      <c r="AN45" s="2">
        <v>46223</v>
      </c>
      <c r="AV45" s="3">
        <v>22</v>
      </c>
      <c r="AX45" s="10">
        <v>46201</v>
      </c>
      <c r="AY45">
        <v>22</v>
      </c>
      <c r="BB45" s="2">
        <v>46184</v>
      </c>
      <c r="BC45">
        <v>160</v>
      </c>
      <c r="BD45">
        <v>123</v>
      </c>
    </row>
    <row r="46" spans="6:56" x14ac:dyDescent="0.3">
      <c r="F46" s="2">
        <v>46185</v>
      </c>
      <c r="G46">
        <v>4200</v>
      </c>
      <c r="H46">
        <v>120</v>
      </c>
      <c r="I46" s="2">
        <v>46185</v>
      </c>
      <c r="J46">
        <v>117631</v>
      </c>
      <c r="K46" s="5">
        <v>0.98025833333333334</v>
      </c>
      <c r="L46" s="2">
        <v>46185</v>
      </c>
      <c r="M46">
        <v>96</v>
      </c>
      <c r="N46" s="2">
        <v>46185</v>
      </c>
      <c r="V46" s="3">
        <v>60</v>
      </c>
      <c r="X46" s="2">
        <v>46200</v>
      </c>
      <c r="Y46">
        <v>60</v>
      </c>
      <c r="AF46" s="2">
        <v>46224</v>
      </c>
      <c r="AG46">
        <v>4960</v>
      </c>
      <c r="AH46">
        <v>200</v>
      </c>
      <c r="AI46" s="2">
        <v>46224</v>
      </c>
      <c r="AJ46">
        <v>114617</v>
      </c>
      <c r="AK46" s="5">
        <v>0.95514166666666667</v>
      </c>
      <c r="AL46" s="2">
        <v>46224</v>
      </c>
      <c r="AM46">
        <v>313</v>
      </c>
      <c r="AN46" s="2">
        <v>46224</v>
      </c>
      <c r="AV46" s="3">
        <v>21</v>
      </c>
      <c r="AX46" s="10">
        <v>46200</v>
      </c>
      <c r="AY46">
        <v>21</v>
      </c>
      <c r="BB46" s="2">
        <v>46185</v>
      </c>
      <c r="BC46">
        <v>120</v>
      </c>
      <c r="BD46">
        <v>96</v>
      </c>
    </row>
    <row r="47" spans="6:56" x14ac:dyDescent="0.3">
      <c r="F47" s="2">
        <v>46186</v>
      </c>
      <c r="G47">
        <v>4300</v>
      </c>
      <c r="H47">
        <v>100</v>
      </c>
      <c r="I47" s="2">
        <v>46186</v>
      </c>
      <c r="J47">
        <v>117436</v>
      </c>
      <c r="K47" s="5">
        <v>0.97863333333333336</v>
      </c>
      <c r="L47" s="2">
        <v>46186</v>
      </c>
      <c r="M47">
        <v>195</v>
      </c>
      <c r="N47" s="2">
        <v>46186</v>
      </c>
      <c r="V47" s="3">
        <v>59</v>
      </c>
      <c r="X47" s="2">
        <v>46199</v>
      </c>
      <c r="Y47">
        <v>59</v>
      </c>
      <c r="AF47" s="2">
        <v>46225</v>
      </c>
      <c r="AG47">
        <v>5160</v>
      </c>
      <c r="AH47">
        <v>200</v>
      </c>
      <c r="AI47" s="2">
        <v>46225</v>
      </c>
      <c r="AJ47">
        <v>113928</v>
      </c>
      <c r="AK47" s="5">
        <v>0.94940000000000002</v>
      </c>
      <c r="AL47" s="2">
        <v>46225</v>
      </c>
      <c r="AM47">
        <v>689</v>
      </c>
      <c r="AN47" s="2">
        <v>46225</v>
      </c>
      <c r="AV47" s="3">
        <v>20</v>
      </c>
      <c r="AW47">
        <v>0.73049469100474829</v>
      </c>
      <c r="AX47" s="10">
        <v>46199</v>
      </c>
      <c r="AY47">
        <v>20</v>
      </c>
      <c r="BB47" s="2">
        <v>46186</v>
      </c>
      <c r="BC47">
        <v>100</v>
      </c>
      <c r="BD47">
        <v>195</v>
      </c>
    </row>
    <row r="48" spans="6:56" x14ac:dyDescent="0.3">
      <c r="F48" s="2">
        <v>46187</v>
      </c>
      <c r="G48">
        <v>4420</v>
      </c>
      <c r="H48">
        <v>120</v>
      </c>
      <c r="I48" s="2">
        <v>46187</v>
      </c>
      <c r="J48">
        <v>117409</v>
      </c>
      <c r="K48" s="5">
        <v>0.97840833333333332</v>
      </c>
      <c r="L48" s="2">
        <v>46187</v>
      </c>
      <c r="M48">
        <v>27</v>
      </c>
      <c r="N48" s="2">
        <v>46187</v>
      </c>
      <c r="V48" s="3">
        <v>58</v>
      </c>
      <c r="X48" s="2">
        <v>46198</v>
      </c>
      <c r="Y48">
        <v>58</v>
      </c>
      <c r="AF48" s="2">
        <v>46226</v>
      </c>
      <c r="AG48">
        <v>5400</v>
      </c>
      <c r="AH48">
        <v>240</v>
      </c>
      <c r="AI48" s="2">
        <v>46226</v>
      </c>
      <c r="AJ48">
        <v>113419</v>
      </c>
      <c r="AK48" s="5">
        <v>0.94515833333333332</v>
      </c>
      <c r="AL48" s="2">
        <v>46226</v>
      </c>
      <c r="AM48">
        <v>509</v>
      </c>
      <c r="AN48" s="2">
        <v>46226</v>
      </c>
      <c r="AV48" s="3">
        <v>19</v>
      </c>
      <c r="AX48" s="10">
        <v>46198</v>
      </c>
      <c r="AY48">
        <v>19</v>
      </c>
      <c r="BB48" s="2">
        <v>46187</v>
      </c>
      <c r="BC48">
        <v>120</v>
      </c>
      <c r="BD48">
        <v>27</v>
      </c>
    </row>
    <row r="49" spans="6:56" x14ac:dyDescent="0.3">
      <c r="F49" s="2">
        <v>46188</v>
      </c>
      <c r="G49">
        <v>4540</v>
      </c>
      <c r="H49">
        <v>120</v>
      </c>
      <c r="I49" s="2">
        <v>46188</v>
      </c>
      <c r="J49">
        <v>117374</v>
      </c>
      <c r="K49" s="5">
        <v>0.97811666666666663</v>
      </c>
      <c r="L49" s="2">
        <v>46188</v>
      </c>
      <c r="M49">
        <v>35</v>
      </c>
      <c r="N49" s="2">
        <v>46188</v>
      </c>
      <c r="V49" s="3">
        <v>57</v>
      </c>
      <c r="X49" s="2">
        <v>46197</v>
      </c>
      <c r="Y49">
        <v>57</v>
      </c>
      <c r="AF49" s="2">
        <v>46227</v>
      </c>
      <c r="AG49">
        <v>5600</v>
      </c>
      <c r="AH49">
        <v>200</v>
      </c>
      <c r="AI49" s="2">
        <v>46227</v>
      </c>
      <c r="AJ49">
        <v>113167</v>
      </c>
      <c r="AK49" s="5">
        <v>0.94305833333333333</v>
      </c>
      <c r="AL49" s="2">
        <v>46227</v>
      </c>
      <c r="AM49">
        <v>252</v>
      </c>
      <c r="AN49" s="2">
        <v>46227</v>
      </c>
      <c r="AV49" s="3">
        <v>18</v>
      </c>
      <c r="AX49" s="10">
        <v>46197</v>
      </c>
      <c r="AY49">
        <v>18</v>
      </c>
      <c r="BB49" s="2">
        <v>46188</v>
      </c>
      <c r="BC49">
        <v>120</v>
      </c>
      <c r="BD49">
        <v>35</v>
      </c>
    </row>
    <row r="50" spans="6:56" x14ac:dyDescent="0.3">
      <c r="F50" s="2">
        <v>46189</v>
      </c>
      <c r="G50">
        <v>4660</v>
      </c>
      <c r="H50">
        <v>120</v>
      </c>
      <c r="I50" s="2">
        <v>46189</v>
      </c>
      <c r="J50">
        <v>117302</v>
      </c>
      <c r="K50" s="5">
        <v>0.9775166666666667</v>
      </c>
      <c r="L50" s="2">
        <v>46189</v>
      </c>
      <c r="M50">
        <v>72</v>
      </c>
      <c r="N50" s="2">
        <v>46189</v>
      </c>
      <c r="V50" s="3">
        <v>56</v>
      </c>
      <c r="X50" s="2">
        <v>46196</v>
      </c>
      <c r="Y50">
        <v>56</v>
      </c>
      <c r="AF50" s="2">
        <v>46228</v>
      </c>
      <c r="AG50">
        <v>5840</v>
      </c>
      <c r="AH50">
        <v>240</v>
      </c>
      <c r="AI50" s="2">
        <v>46228</v>
      </c>
      <c r="AJ50">
        <v>112890</v>
      </c>
      <c r="AK50" s="5">
        <v>0.94074999999999998</v>
      </c>
      <c r="AL50" s="2">
        <v>46228</v>
      </c>
      <c r="AM50">
        <v>277</v>
      </c>
      <c r="AN50" s="2">
        <v>46228</v>
      </c>
      <c r="AV50" s="3">
        <v>17</v>
      </c>
      <c r="AX50" s="10">
        <v>46196</v>
      </c>
      <c r="AY50">
        <v>17</v>
      </c>
      <c r="BB50" s="2">
        <v>46189</v>
      </c>
      <c r="BC50">
        <v>120</v>
      </c>
      <c r="BD50">
        <v>72</v>
      </c>
    </row>
    <row r="51" spans="6:56" x14ac:dyDescent="0.3">
      <c r="F51" s="2">
        <v>46190</v>
      </c>
      <c r="G51">
        <v>4780</v>
      </c>
      <c r="H51">
        <v>120</v>
      </c>
      <c r="I51" s="2">
        <v>46190</v>
      </c>
      <c r="J51">
        <v>117233</v>
      </c>
      <c r="K51" s="5">
        <v>0.97694166666666671</v>
      </c>
      <c r="L51" s="2">
        <v>46190</v>
      </c>
      <c r="M51">
        <v>69</v>
      </c>
      <c r="N51" s="2">
        <v>46190</v>
      </c>
      <c r="V51" s="3">
        <v>55</v>
      </c>
      <c r="X51" s="2">
        <v>46195</v>
      </c>
      <c r="Y51">
        <v>55</v>
      </c>
      <c r="AF51" s="2">
        <v>46229</v>
      </c>
      <c r="AG51">
        <v>6040</v>
      </c>
      <c r="AH51">
        <v>200</v>
      </c>
      <c r="AI51" s="2">
        <v>46229</v>
      </c>
      <c r="AJ51">
        <v>112398</v>
      </c>
      <c r="AK51" s="5">
        <v>0.93664999999999998</v>
      </c>
      <c r="AL51" s="2">
        <v>46229</v>
      </c>
      <c r="AM51">
        <v>492</v>
      </c>
      <c r="AN51" s="2">
        <v>46229</v>
      </c>
      <c r="AV51" s="3">
        <v>16</v>
      </c>
      <c r="AX51" s="10">
        <v>46195</v>
      </c>
      <c r="AY51">
        <v>16</v>
      </c>
      <c r="BB51" s="2">
        <v>46190</v>
      </c>
      <c r="BC51">
        <v>120</v>
      </c>
      <c r="BD51">
        <v>69</v>
      </c>
    </row>
    <row r="52" spans="6:56" x14ac:dyDescent="0.3">
      <c r="F52" s="2">
        <v>46191</v>
      </c>
      <c r="G52">
        <v>4900</v>
      </c>
      <c r="H52">
        <v>120</v>
      </c>
      <c r="I52" s="2">
        <v>46191</v>
      </c>
      <c r="J52">
        <v>117160</v>
      </c>
      <c r="K52" s="5">
        <v>0.97633333333333339</v>
      </c>
      <c r="L52" s="2">
        <v>46191</v>
      </c>
      <c r="M52">
        <v>73</v>
      </c>
      <c r="N52" s="2">
        <v>46191</v>
      </c>
      <c r="V52" s="3">
        <v>54</v>
      </c>
      <c r="W52">
        <v>0.89048896426435542</v>
      </c>
      <c r="X52" s="2">
        <v>46194</v>
      </c>
      <c r="Y52">
        <v>54</v>
      </c>
      <c r="AF52" s="2">
        <v>46230</v>
      </c>
      <c r="AG52">
        <v>6300</v>
      </c>
      <c r="AH52">
        <v>260</v>
      </c>
      <c r="AI52" s="2">
        <v>46230</v>
      </c>
      <c r="AJ52">
        <v>111867</v>
      </c>
      <c r="AK52" s="5">
        <v>0.93222499999999997</v>
      </c>
      <c r="AL52" s="2">
        <v>46230</v>
      </c>
      <c r="AM52">
        <v>531</v>
      </c>
      <c r="AN52" s="2">
        <v>46230</v>
      </c>
      <c r="AV52" s="3">
        <v>15</v>
      </c>
      <c r="AX52" s="10">
        <v>46194</v>
      </c>
      <c r="AY52">
        <v>15</v>
      </c>
      <c r="BB52" s="2">
        <v>46191</v>
      </c>
      <c r="BC52">
        <v>120</v>
      </c>
      <c r="BD52">
        <v>73</v>
      </c>
    </row>
    <row r="53" spans="6:56" x14ac:dyDescent="0.3">
      <c r="F53" s="2">
        <v>46192</v>
      </c>
      <c r="G53">
        <v>5040</v>
      </c>
      <c r="H53">
        <v>140</v>
      </c>
      <c r="I53" s="2">
        <v>46192</v>
      </c>
      <c r="J53">
        <v>117122</v>
      </c>
      <c r="K53" s="5">
        <v>0.97601666666666664</v>
      </c>
      <c r="L53" s="2">
        <v>46192</v>
      </c>
      <c r="M53">
        <v>38</v>
      </c>
      <c r="N53" s="2">
        <v>46192</v>
      </c>
      <c r="V53" s="3">
        <v>53</v>
      </c>
      <c r="X53" s="2">
        <v>46193</v>
      </c>
      <c r="Y53">
        <v>53</v>
      </c>
      <c r="AF53" s="2">
        <v>46231</v>
      </c>
      <c r="AG53">
        <v>6360</v>
      </c>
      <c r="AH53">
        <v>60</v>
      </c>
      <c r="AI53" s="2">
        <v>46231</v>
      </c>
      <c r="AJ53">
        <v>111729</v>
      </c>
      <c r="AK53" s="5">
        <v>0.93107499999999999</v>
      </c>
      <c r="AL53" s="2">
        <v>46231</v>
      </c>
      <c r="AM53">
        <v>138</v>
      </c>
      <c r="AN53" s="2">
        <v>46231</v>
      </c>
      <c r="AV53" s="3">
        <v>14</v>
      </c>
      <c r="AX53" s="10">
        <v>46193</v>
      </c>
      <c r="AY53">
        <v>14</v>
      </c>
      <c r="BB53" s="2">
        <v>46192</v>
      </c>
      <c r="BC53">
        <v>140</v>
      </c>
      <c r="BD53">
        <v>38</v>
      </c>
    </row>
    <row r="54" spans="6:56" x14ac:dyDescent="0.3">
      <c r="F54" s="2">
        <v>46193</v>
      </c>
      <c r="G54">
        <v>5160</v>
      </c>
      <c r="H54">
        <v>120</v>
      </c>
      <c r="I54" s="2">
        <v>46193</v>
      </c>
      <c r="J54">
        <v>117018</v>
      </c>
      <c r="K54" s="5">
        <v>0.97514999999999996</v>
      </c>
      <c r="L54" s="2">
        <v>46193</v>
      </c>
      <c r="M54">
        <v>104</v>
      </c>
      <c r="N54" s="2">
        <v>46193</v>
      </c>
      <c r="V54" s="3">
        <v>52</v>
      </c>
      <c r="X54" s="2">
        <v>46192</v>
      </c>
      <c r="Y54">
        <v>52</v>
      </c>
      <c r="AF54" s="2">
        <v>46232</v>
      </c>
      <c r="AG54">
        <v>6420</v>
      </c>
      <c r="AH54">
        <v>60</v>
      </c>
      <c r="AI54" s="2">
        <v>46232</v>
      </c>
      <c r="AJ54">
        <v>111528</v>
      </c>
      <c r="AK54" s="5">
        <v>0.9294</v>
      </c>
      <c r="AL54" s="2">
        <v>46232</v>
      </c>
      <c r="AM54">
        <v>201</v>
      </c>
      <c r="AN54" s="2">
        <v>46232</v>
      </c>
      <c r="AV54" s="3">
        <v>13</v>
      </c>
      <c r="AX54" s="10">
        <v>46192</v>
      </c>
      <c r="AY54">
        <v>13</v>
      </c>
      <c r="BB54" s="2">
        <v>46193</v>
      </c>
      <c r="BC54">
        <v>120</v>
      </c>
      <c r="BD54">
        <v>104</v>
      </c>
    </row>
    <row r="55" spans="6:56" x14ac:dyDescent="0.3">
      <c r="F55" s="2">
        <v>46194</v>
      </c>
      <c r="G55">
        <v>5300</v>
      </c>
      <c r="H55">
        <v>140</v>
      </c>
      <c r="I55" s="2">
        <v>46194</v>
      </c>
      <c r="J55">
        <v>116908</v>
      </c>
      <c r="K55" s="5">
        <v>0.97423333333333328</v>
      </c>
      <c r="L55" s="2">
        <v>46194</v>
      </c>
      <c r="M55">
        <v>110</v>
      </c>
      <c r="N55" s="2">
        <v>46194</v>
      </c>
      <c r="O55">
        <v>51</v>
      </c>
      <c r="V55" s="3">
        <v>51</v>
      </c>
      <c r="X55" s="2">
        <v>46191</v>
      </c>
      <c r="Y55">
        <v>51</v>
      </c>
      <c r="AF55" s="2">
        <v>46233</v>
      </c>
      <c r="AG55">
        <v>6480</v>
      </c>
      <c r="AH55">
        <v>60</v>
      </c>
      <c r="AI55" s="2">
        <v>46233</v>
      </c>
      <c r="AJ55">
        <v>111406</v>
      </c>
      <c r="AK55" s="5">
        <v>0.92838333333333334</v>
      </c>
      <c r="AL55" s="2">
        <v>46233</v>
      </c>
      <c r="AM55">
        <v>122</v>
      </c>
      <c r="AN55" s="2">
        <v>46233</v>
      </c>
      <c r="AV55" s="3">
        <v>12</v>
      </c>
      <c r="AX55" s="10">
        <v>46191</v>
      </c>
      <c r="AY55">
        <v>12</v>
      </c>
      <c r="BB55" s="2">
        <v>46194</v>
      </c>
      <c r="BC55">
        <v>140</v>
      </c>
      <c r="BD55">
        <v>110</v>
      </c>
    </row>
    <row r="56" spans="6:56" x14ac:dyDescent="0.3">
      <c r="F56" s="2">
        <v>46195</v>
      </c>
      <c r="G56">
        <v>5460</v>
      </c>
      <c r="H56">
        <v>160</v>
      </c>
      <c r="I56" s="2">
        <v>46195</v>
      </c>
      <c r="J56">
        <v>116772</v>
      </c>
      <c r="K56" s="5">
        <v>0.97309999999999997</v>
      </c>
      <c r="L56" s="2">
        <v>46195</v>
      </c>
      <c r="M56">
        <v>136</v>
      </c>
      <c r="N56" s="2">
        <v>46195</v>
      </c>
      <c r="V56" s="3">
        <v>50</v>
      </c>
      <c r="X56" s="2">
        <v>46190</v>
      </c>
      <c r="Y56">
        <v>50</v>
      </c>
      <c r="AF56" s="2">
        <v>46234</v>
      </c>
      <c r="AG56">
        <v>6580</v>
      </c>
      <c r="AH56">
        <v>100</v>
      </c>
      <c r="AI56" s="2">
        <v>46234</v>
      </c>
      <c r="AJ56">
        <v>111321</v>
      </c>
      <c r="AK56" s="5">
        <v>0.92767500000000003</v>
      </c>
      <c r="AL56" s="2">
        <v>46234</v>
      </c>
      <c r="AM56">
        <v>85</v>
      </c>
      <c r="AN56" s="2">
        <v>46234</v>
      </c>
      <c r="AV56" s="3">
        <v>11</v>
      </c>
      <c r="AX56" s="10">
        <v>46190</v>
      </c>
      <c r="AY56">
        <v>11</v>
      </c>
      <c r="BB56" s="2">
        <v>46195</v>
      </c>
      <c r="BC56">
        <v>160</v>
      </c>
      <c r="BD56">
        <v>136</v>
      </c>
    </row>
    <row r="57" spans="6:56" x14ac:dyDescent="0.3">
      <c r="F57" s="2">
        <v>46196</v>
      </c>
      <c r="G57">
        <v>5640</v>
      </c>
      <c r="H57">
        <v>180</v>
      </c>
      <c r="I57" s="2">
        <v>46196</v>
      </c>
      <c r="J57">
        <v>116664</v>
      </c>
      <c r="K57" s="5">
        <v>0.97219999999999995</v>
      </c>
      <c r="L57" s="2">
        <v>46196</v>
      </c>
      <c r="M57">
        <v>108</v>
      </c>
      <c r="N57" s="2">
        <v>46196</v>
      </c>
      <c r="V57" s="3">
        <v>49</v>
      </c>
      <c r="X57" s="2">
        <v>46189</v>
      </c>
      <c r="Y57">
        <v>49</v>
      </c>
      <c r="AF57" s="2">
        <v>46235</v>
      </c>
      <c r="AG57">
        <v>6780</v>
      </c>
      <c r="AH57">
        <v>200</v>
      </c>
      <c r="AI57" s="2">
        <v>46235</v>
      </c>
      <c r="AJ57">
        <v>111222</v>
      </c>
      <c r="AK57" s="5">
        <v>0.92684999999999995</v>
      </c>
      <c r="AL57" s="2">
        <v>46235</v>
      </c>
      <c r="AM57">
        <v>99</v>
      </c>
      <c r="AN57" s="2">
        <v>46235</v>
      </c>
      <c r="AO57">
        <v>51.4</v>
      </c>
      <c r="AV57" s="3">
        <v>10</v>
      </c>
      <c r="AW57">
        <v>0.39117247593107601</v>
      </c>
      <c r="AX57" s="10">
        <v>46189</v>
      </c>
      <c r="AY57">
        <v>10</v>
      </c>
      <c r="BB57" s="2">
        <v>46196</v>
      </c>
      <c r="BC57">
        <v>180</v>
      </c>
      <c r="BD57">
        <v>108</v>
      </c>
    </row>
    <row r="58" spans="6:56" x14ac:dyDescent="0.3">
      <c r="F58" s="2">
        <v>46197</v>
      </c>
      <c r="G58">
        <v>5820</v>
      </c>
      <c r="H58">
        <v>180</v>
      </c>
      <c r="I58" s="2">
        <v>46197</v>
      </c>
      <c r="J58">
        <v>116585</v>
      </c>
      <c r="K58" s="5">
        <v>0.97154166666666664</v>
      </c>
      <c r="L58" s="2">
        <v>46197</v>
      </c>
      <c r="M58">
        <v>79</v>
      </c>
      <c r="N58" s="2">
        <v>46197</v>
      </c>
      <c r="V58" s="3">
        <v>48</v>
      </c>
      <c r="X58" s="2">
        <v>46188</v>
      </c>
      <c r="Y58">
        <v>48</v>
      </c>
      <c r="AF58" s="2">
        <v>46236</v>
      </c>
      <c r="AG58">
        <v>6980</v>
      </c>
      <c r="AH58">
        <v>200</v>
      </c>
      <c r="AI58" s="2">
        <v>46236</v>
      </c>
      <c r="AJ58">
        <v>111220</v>
      </c>
      <c r="AK58" s="5">
        <v>0.92683333333333329</v>
      </c>
      <c r="AL58" s="2">
        <v>46236</v>
      </c>
      <c r="AM58">
        <v>2</v>
      </c>
      <c r="AN58" s="2">
        <v>46236</v>
      </c>
      <c r="AO58">
        <v>52.46153846153846</v>
      </c>
      <c r="AV58" s="3">
        <v>9</v>
      </c>
      <c r="AX58" s="10">
        <v>46188</v>
      </c>
      <c r="AY58">
        <v>9</v>
      </c>
      <c r="BB58" s="2">
        <v>46197</v>
      </c>
      <c r="BC58">
        <v>180</v>
      </c>
      <c r="BD58">
        <v>79</v>
      </c>
    </row>
    <row r="59" spans="6:56" x14ac:dyDescent="0.3">
      <c r="F59" s="2">
        <v>46198</v>
      </c>
      <c r="G59">
        <v>6020</v>
      </c>
      <c r="H59">
        <v>200</v>
      </c>
      <c r="I59" s="2">
        <v>46198</v>
      </c>
      <c r="J59">
        <v>116518</v>
      </c>
      <c r="K59" s="5">
        <v>0.97098333333333331</v>
      </c>
      <c r="L59" s="2">
        <v>46198</v>
      </c>
      <c r="M59">
        <v>67</v>
      </c>
      <c r="N59" s="2">
        <v>46198</v>
      </c>
      <c r="V59" s="3">
        <v>47</v>
      </c>
      <c r="X59" s="2">
        <v>46187</v>
      </c>
      <c r="Y59">
        <v>47</v>
      </c>
      <c r="AF59" s="2">
        <v>46237</v>
      </c>
      <c r="AG59">
        <v>7200</v>
      </c>
      <c r="AH59">
        <v>220</v>
      </c>
      <c r="AI59" s="2">
        <v>46237</v>
      </c>
      <c r="AJ59">
        <v>111186</v>
      </c>
      <c r="AK59" s="5">
        <v>0.92654999999999998</v>
      </c>
      <c r="AL59" s="2">
        <v>46237</v>
      </c>
      <c r="AM59">
        <v>34</v>
      </c>
      <c r="AN59" s="2">
        <v>46237</v>
      </c>
      <c r="AO59">
        <v>53.523076923076921</v>
      </c>
      <c r="AV59" s="3">
        <v>8</v>
      </c>
      <c r="AX59" s="10">
        <v>46187</v>
      </c>
      <c r="AY59">
        <v>8</v>
      </c>
      <c r="BB59" s="2">
        <v>46198</v>
      </c>
      <c r="BC59">
        <v>200</v>
      </c>
      <c r="BD59">
        <v>67</v>
      </c>
    </row>
    <row r="60" spans="6:56" x14ac:dyDescent="0.3">
      <c r="F60" s="2">
        <v>46199</v>
      </c>
      <c r="G60">
        <v>6240</v>
      </c>
      <c r="H60">
        <v>220</v>
      </c>
      <c r="I60" s="2">
        <v>46199</v>
      </c>
      <c r="J60">
        <v>116433</v>
      </c>
      <c r="K60" s="5">
        <v>0.970275</v>
      </c>
      <c r="L60" s="2">
        <v>46199</v>
      </c>
      <c r="M60">
        <v>85</v>
      </c>
      <c r="N60" s="2">
        <v>46199</v>
      </c>
      <c r="V60" s="3">
        <v>46</v>
      </c>
      <c r="X60" s="2">
        <v>46186</v>
      </c>
      <c r="Y60">
        <v>46</v>
      </c>
      <c r="AF60" s="2">
        <v>46238</v>
      </c>
      <c r="AG60">
        <v>7420</v>
      </c>
      <c r="AH60">
        <v>220</v>
      </c>
      <c r="AI60" s="2">
        <v>46238</v>
      </c>
      <c r="AJ60">
        <v>111072</v>
      </c>
      <c r="AK60" s="5">
        <v>0.92559999999999998</v>
      </c>
      <c r="AL60" s="2">
        <v>46238</v>
      </c>
      <c r="AM60">
        <v>114</v>
      </c>
      <c r="AN60" s="2">
        <v>46238</v>
      </c>
      <c r="AV60" s="3">
        <v>7</v>
      </c>
      <c r="AX60" s="10">
        <v>46186</v>
      </c>
      <c r="AY60">
        <v>7</v>
      </c>
      <c r="BB60" s="2">
        <v>46199</v>
      </c>
      <c r="BC60">
        <v>220</v>
      </c>
      <c r="BD60">
        <v>85</v>
      </c>
    </row>
    <row r="61" spans="6:56" x14ac:dyDescent="0.3">
      <c r="F61" s="2">
        <v>46200</v>
      </c>
      <c r="G61">
        <v>6460</v>
      </c>
      <c r="H61">
        <v>220</v>
      </c>
      <c r="I61" s="2">
        <v>46200</v>
      </c>
      <c r="J61">
        <v>116391</v>
      </c>
      <c r="K61" s="5">
        <v>0.96992500000000004</v>
      </c>
      <c r="L61" s="2">
        <v>46200</v>
      </c>
      <c r="M61">
        <v>42</v>
      </c>
      <c r="N61" s="2">
        <v>46200</v>
      </c>
      <c r="V61" s="3">
        <v>45</v>
      </c>
      <c r="X61" s="2">
        <v>46185</v>
      </c>
      <c r="Y61">
        <v>45</v>
      </c>
      <c r="AF61" s="2">
        <v>46239</v>
      </c>
      <c r="AG61">
        <v>7640</v>
      </c>
      <c r="AH61">
        <v>220</v>
      </c>
      <c r="AI61" s="2">
        <v>46239</v>
      </c>
      <c r="AJ61">
        <v>111017</v>
      </c>
      <c r="AK61" s="5">
        <v>0.92514166666666664</v>
      </c>
      <c r="AL61" s="2">
        <v>46239</v>
      </c>
      <c r="AM61">
        <v>55</v>
      </c>
      <c r="AN61" s="2">
        <v>46239</v>
      </c>
      <c r="AV61" s="3">
        <v>6</v>
      </c>
      <c r="AX61" s="10">
        <v>46185</v>
      </c>
      <c r="AY61">
        <v>6</v>
      </c>
      <c r="BB61" s="2">
        <v>46200</v>
      </c>
      <c r="BC61">
        <v>220</v>
      </c>
      <c r="BD61">
        <v>42</v>
      </c>
    </row>
    <row r="62" spans="6:56" x14ac:dyDescent="0.3">
      <c r="F62" s="2">
        <v>46201</v>
      </c>
      <c r="G62">
        <v>6660</v>
      </c>
      <c r="H62">
        <v>200</v>
      </c>
      <c r="I62" s="2">
        <v>46201</v>
      </c>
      <c r="J62">
        <v>116252</v>
      </c>
      <c r="K62" s="5">
        <v>0.96876666666666666</v>
      </c>
      <c r="L62" s="2">
        <v>46201</v>
      </c>
      <c r="M62">
        <v>139</v>
      </c>
      <c r="N62" s="2">
        <v>46201</v>
      </c>
      <c r="V62" s="3">
        <v>44</v>
      </c>
      <c r="W62">
        <v>0.7405224560167778</v>
      </c>
      <c r="X62" s="2">
        <v>46184</v>
      </c>
      <c r="Y62">
        <v>44</v>
      </c>
      <c r="AF62" s="2">
        <v>46240</v>
      </c>
      <c r="AG62">
        <v>7860</v>
      </c>
      <c r="AH62">
        <v>220</v>
      </c>
      <c r="AI62" s="2">
        <v>46240</v>
      </c>
      <c r="AJ62">
        <v>110955</v>
      </c>
      <c r="AK62" s="5">
        <v>0.92462500000000003</v>
      </c>
      <c r="AL62" s="2">
        <v>46240</v>
      </c>
      <c r="AM62">
        <v>62</v>
      </c>
      <c r="AN62" s="2">
        <v>46240</v>
      </c>
      <c r="AV62" s="3">
        <v>5</v>
      </c>
      <c r="AX62" s="10">
        <v>46184</v>
      </c>
      <c r="AY62">
        <v>5</v>
      </c>
      <c r="BB62" s="2">
        <v>46201</v>
      </c>
      <c r="BC62">
        <v>200</v>
      </c>
      <c r="BD62">
        <v>139</v>
      </c>
    </row>
    <row r="63" spans="6:56" x14ac:dyDescent="0.3">
      <c r="F63" s="2">
        <v>46202</v>
      </c>
      <c r="G63">
        <v>6820</v>
      </c>
      <c r="H63">
        <v>160</v>
      </c>
      <c r="I63" s="2">
        <v>46202</v>
      </c>
      <c r="J63">
        <v>116030</v>
      </c>
      <c r="K63" s="5">
        <v>0.96691666666666665</v>
      </c>
      <c r="L63" s="2">
        <v>46202</v>
      </c>
      <c r="M63">
        <v>222</v>
      </c>
      <c r="N63" s="2">
        <v>46202</v>
      </c>
      <c r="V63" s="3">
        <v>43</v>
      </c>
      <c r="X63" s="2">
        <v>46183</v>
      </c>
      <c r="Y63">
        <v>43</v>
      </c>
      <c r="AF63" s="2">
        <v>46241</v>
      </c>
      <c r="AG63">
        <v>8080</v>
      </c>
      <c r="AH63">
        <v>220</v>
      </c>
      <c r="AI63" s="2">
        <v>46241</v>
      </c>
      <c r="AJ63">
        <v>110889</v>
      </c>
      <c r="AK63" s="5">
        <v>0.92407499999999998</v>
      </c>
      <c r="AL63" s="2">
        <v>46241</v>
      </c>
      <c r="AM63">
        <v>66</v>
      </c>
      <c r="AN63" s="2">
        <v>46241</v>
      </c>
      <c r="AV63" s="3">
        <v>4</v>
      </c>
      <c r="AX63" s="10">
        <v>46183</v>
      </c>
      <c r="AY63">
        <v>4</v>
      </c>
      <c r="BB63" s="2">
        <v>46202</v>
      </c>
      <c r="BC63">
        <v>160</v>
      </c>
      <c r="BD63">
        <v>222</v>
      </c>
    </row>
    <row r="64" spans="6:56" x14ac:dyDescent="0.3">
      <c r="F64" s="2">
        <v>46203</v>
      </c>
      <c r="G64">
        <v>7060</v>
      </c>
      <c r="H64">
        <v>240</v>
      </c>
      <c r="I64" s="2">
        <v>46203</v>
      </c>
      <c r="J64">
        <v>115944</v>
      </c>
      <c r="K64" s="5">
        <v>0.96619999999999995</v>
      </c>
      <c r="L64" s="2">
        <v>46203</v>
      </c>
      <c r="M64">
        <v>86</v>
      </c>
      <c r="N64" s="2">
        <v>46203</v>
      </c>
      <c r="V64" s="3">
        <v>42</v>
      </c>
      <c r="X64" s="2">
        <v>46182</v>
      </c>
      <c r="Y64">
        <v>42</v>
      </c>
      <c r="AF64" s="2">
        <v>46242</v>
      </c>
      <c r="AG64">
        <v>8300</v>
      </c>
      <c r="AH64">
        <v>220</v>
      </c>
      <c r="AI64" s="2">
        <v>46242</v>
      </c>
      <c r="AJ64">
        <v>110825</v>
      </c>
      <c r="AK64" s="5">
        <v>0.92354166666666671</v>
      </c>
      <c r="AL64" s="2">
        <v>46242</v>
      </c>
      <c r="AM64">
        <v>64</v>
      </c>
      <c r="AN64" s="2">
        <v>46242</v>
      </c>
      <c r="AV64" s="3">
        <v>3</v>
      </c>
      <c r="AX64" s="10">
        <v>46182</v>
      </c>
      <c r="AY64">
        <v>3</v>
      </c>
      <c r="BB64" s="2">
        <v>46203</v>
      </c>
      <c r="BC64">
        <v>240</v>
      </c>
      <c r="BD64">
        <v>86</v>
      </c>
    </row>
    <row r="65" spans="6:56" x14ac:dyDescent="0.3">
      <c r="F65" s="2">
        <v>46204</v>
      </c>
      <c r="G65">
        <v>7320</v>
      </c>
      <c r="H65">
        <v>260</v>
      </c>
      <c r="I65" s="2">
        <v>46204</v>
      </c>
      <c r="J65">
        <v>115843</v>
      </c>
      <c r="K65" s="5">
        <v>0.96535833333333332</v>
      </c>
      <c r="L65" s="2">
        <v>46204</v>
      </c>
      <c r="M65">
        <v>101</v>
      </c>
      <c r="N65" s="2">
        <v>46204</v>
      </c>
      <c r="O65">
        <v>76</v>
      </c>
      <c r="V65" s="3">
        <v>41</v>
      </c>
      <c r="X65" s="2">
        <v>46181</v>
      </c>
      <c r="Y65">
        <v>41</v>
      </c>
      <c r="AF65" s="2">
        <v>46243</v>
      </c>
      <c r="AG65">
        <v>8520</v>
      </c>
      <c r="AH65">
        <v>220</v>
      </c>
      <c r="AI65" s="2">
        <v>46243</v>
      </c>
      <c r="AJ65">
        <v>110780</v>
      </c>
      <c r="AK65" s="5">
        <v>0.92316666666666669</v>
      </c>
      <c r="AL65" s="2">
        <v>46243</v>
      </c>
      <c r="AM65">
        <v>45</v>
      </c>
      <c r="AN65" s="2">
        <v>46243</v>
      </c>
      <c r="AV65" s="3">
        <v>2</v>
      </c>
      <c r="AW65">
        <v>6.5798131333070151E-2</v>
      </c>
      <c r="AX65" s="10">
        <v>46181</v>
      </c>
      <c r="AY65">
        <v>2</v>
      </c>
      <c r="BB65" s="2">
        <v>46204</v>
      </c>
      <c r="BC65">
        <v>260</v>
      </c>
      <c r="BD65">
        <v>101</v>
      </c>
    </row>
    <row r="66" spans="6:56" x14ac:dyDescent="0.3">
      <c r="F66" s="2">
        <v>46205</v>
      </c>
      <c r="G66">
        <v>7600</v>
      </c>
      <c r="H66">
        <v>280</v>
      </c>
      <c r="I66" s="2">
        <v>46205</v>
      </c>
      <c r="J66">
        <v>115632</v>
      </c>
      <c r="K66" s="5">
        <v>0.96360000000000001</v>
      </c>
      <c r="L66" s="2">
        <v>46205</v>
      </c>
      <c r="M66">
        <v>211</v>
      </c>
      <c r="N66" s="2">
        <v>46205</v>
      </c>
      <c r="V66" s="3">
        <v>40</v>
      </c>
      <c r="X66" s="2">
        <v>46180</v>
      </c>
      <c r="Y66">
        <v>40</v>
      </c>
      <c r="AF66" s="2">
        <v>46244</v>
      </c>
      <c r="AG66">
        <v>8740</v>
      </c>
      <c r="AH66">
        <v>220</v>
      </c>
      <c r="AI66" s="2">
        <v>46244</v>
      </c>
      <c r="AJ66">
        <v>110713</v>
      </c>
      <c r="AK66" s="5">
        <v>0.92260833333333336</v>
      </c>
      <c r="AL66" s="2">
        <v>46244</v>
      </c>
      <c r="AM66">
        <v>67</v>
      </c>
      <c r="AN66" s="2">
        <v>46244</v>
      </c>
      <c r="AO66">
        <v>57.89</v>
      </c>
      <c r="AV66" s="3">
        <v>1</v>
      </c>
      <c r="AX66" s="10">
        <v>46180</v>
      </c>
      <c r="AY66">
        <v>1</v>
      </c>
      <c r="BB66" s="2">
        <v>46205</v>
      </c>
      <c r="BC66">
        <v>280</v>
      </c>
      <c r="BD66">
        <v>211</v>
      </c>
    </row>
    <row r="67" spans="6:56" x14ac:dyDescent="0.3">
      <c r="F67" s="2">
        <v>46206</v>
      </c>
      <c r="G67">
        <v>7880</v>
      </c>
      <c r="H67">
        <v>280</v>
      </c>
      <c r="I67" s="2">
        <v>46206</v>
      </c>
      <c r="J67">
        <v>115304</v>
      </c>
      <c r="K67" s="5">
        <v>0.96086666666666665</v>
      </c>
      <c r="L67" s="2">
        <v>46206</v>
      </c>
      <c r="M67">
        <v>328</v>
      </c>
      <c r="N67" s="2">
        <v>46206</v>
      </c>
      <c r="V67" s="3">
        <v>39</v>
      </c>
      <c r="X67" s="2">
        <v>46179</v>
      </c>
      <c r="Y67">
        <v>39</v>
      </c>
      <c r="AF67" s="3" t="s">
        <v>22</v>
      </c>
      <c r="AG67">
        <v>232560</v>
      </c>
      <c r="AH67">
        <v>8740</v>
      </c>
      <c r="AI67" s="3" t="s">
        <v>22</v>
      </c>
      <c r="AJ67">
        <v>7550033</v>
      </c>
      <c r="AK67" s="5">
        <v>62.916941666666681</v>
      </c>
      <c r="AL67" s="3" t="s">
        <v>22</v>
      </c>
      <c r="AM67">
        <v>9287</v>
      </c>
      <c r="AN67" s="3" t="s">
        <v>22</v>
      </c>
      <c r="AO67">
        <v>271.2746153846154</v>
      </c>
      <c r="AV67" s="3" t="s">
        <v>22</v>
      </c>
      <c r="AW67">
        <v>7.1336642238700092</v>
      </c>
      <c r="AX67" s="10" t="s">
        <v>22</v>
      </c>
      <c r="AY67">
        <v>2145</v>
      </c>
      <c r="BB67" s="2">
        <v>46206</v>
      </c>
      <c r="BC67">
        <v>280</v>
      </c>
      <c r="BD67">
        <v>328</v>
      </c>
    </row>
    <row r="68" spans="6:56" x14ac:dyDescent="0.3">
      <c r="F68" s="2">
        <v>46207</v>
      </c>
      <c r="G68">
        <v>8040</v>
      </c>
      <c r="H68">
        <v>160</v>
      </c>
      <c r="I68" s="2">
        <v>46207</v>
      </c>
      <c r="J68">
        <v>115106</v>
      </c>
      <c r="K68" s="5">
        <v>0.95921666666666672</v>
      </c>
      <c r="L68" s="2">
        <v>46207</v>
      </c>
      <c r="M68">
        <v>198</v>
      </c>
      <c r="N68" s="2">
        <v>46207</v>
      </c>
      <c r="V68" s="3">
        <v>38</v>
      </c>
      <c r="X68" s="2">
        <v>46178</v>
      </c>
      <c r="Y68">
        <v>38</v>
      </c>
      <c r="AK68"/>
      <c r="BB68" s="2">
        <v>46207</v>
      </c>
      <c r="BC68">
        <v>160</v>
      </c>
      <c r="BD68">
        <v>198</v>
      </c>
    </row>
    <row r="69" spans="6:56" x14ac:dyDescent="0.3">
      <c r="F69" s="2">
        <v>46208</v>
      </c>
      <c r="G69">
        <v>8360</v>
      </c>
      <c r="H69">
        <v>320</v>
      </c>
      <c r="I69" s="2">
        <v>46208</v>
      </c>
      <c r="J69">
        <v>114966</v>
      </c>
      <c r="K69" s="5">
        <v>0.95804999999999996</v>
      </c>
      <c r="L69" s="2">
        <v>46208</v>
      </c>
      <c r="M69">
        <v>140</v>
      </c>
      <c r="N69" s="2">
        <v>46208</v>
      </c>
      <c r="V69" s="3">
        <v>37</v>
      </c>
      <c r="X69" s="2">
        <v>46177</v>
      </c>
      <c r="Y69">
        <v>37</v>
      </c>
      <c r="AK69"/>
      <c r="BB69" s="2">
        <v>46208</v>
      </c>
      <c r="BC69">
        <v>320</v>
      </c>
      <c r="BD69">
        <v>140</v>
      </c>
    </row>
    <row r="70" spans="6:56" x14ac:dyDescent="0.3">
      <c r="F70" s="2">
        <v>46209</v>
      </c>
      <c r="G70">
        <v>8680</v>
      </c>
      <c r="H70">
        <v>320</v>
      </c>
      <c r="I70" s="2">
        <v>46209</v>
      </c>
      <c r="J70">
        <v>114945</v>
      </c>
      <c r="K70" s="5">
        <v>0.95787500000000003</v>
      </c>
      <c r="L70" s="2">
        <v>46209</v>
      </c>
      <c r="M70">
        <v>21</v>
      </c>
      <c r="N70" s="2">
        <v>46209</v>
      </c>
      <c r="V70" s="3">
        <v>36</v>
      </c>
      <c r="X70" s="2">
        <v>46176</v>
      </c>
      <c r="Y70">
        <v>36</v>
      </c>
      <c r="AK70"/>
      <c r="BB70" s="2">
        <v>46209</v>
      </c>
      <c r="BC70">
        <v>320</v>
      </c>
      <c r="BD70">
        <v>21</v>
      </c>
    </row>
    <row r="71" spans="6:56" x14ac:dyDescent="0.3">
      <c r="F71" s="2">
        <v>46210</v>
      </c>
      <c r="G71">
        <v>9020</v>
      </c>
      <c r="H71">
        <v>340</v>
      </c>
      <c r="I71" s="2">
        <v>46210</v>
      </c>
      <c r="J71">
        <v>114839</v>
      </c>
      <c r="K71" s="5">
        <v>0.95699166666666668</v>
      </c>
      <c r="L71" s="2">
        <v>46210</v>
      </c>
      <c r="M71">
        <v>106</v>
      </c>
      <c r="N71" s="2">
        <v>46210</v>
      </c>
      <c r="V71" s="3">
        <v>35</v>
      </c>
      <c r="X71" s="2">
        <v>46175</v>
      </c>
      <c r="Y71">
        <v>35</v>
      </c>
      <c r="AK71"/>
      <c r="BB71" s="2">
        <v>46210</v>
      </c>
      <c r="BC71">
        <v>340</v>
      </c>
      <c r="BD71">
        <v>106</v>
      </c>
    </row>
    <row r="72" spans="6:56" x14ac:dyDescent="0.3">
      <c r="F72" s="2">
        <v>46211</v>
      </c>
      <c r="G72">
        <v>9300</v>
      </c>
      <c r="H72">
        <v>280</v>
      </c>
      <c r="I72" s="2">
        <v>46211</v>
      </c>
      <c r="J72">
        <v>114687</v>
      </c>
      <c r="K72" s="5">
        <v>0.95572500000000005</v>
      </c>
      <c r="L72" s="2">
        <v>46211</v>
      </c>
      <c r="M72">
        <v>152</v>
      </c>
      <c r="N72" s="2">
        <v>46211</v>
      </c>
      <c r="V72" s="3">
        <v>34</v>
      </c>
      <c r="W72">
        <v>0.63010856521851655</v>
      </c>
      <c r="X72" s="2">
        <v>46174</v>
      </c>
      <c r="Y72">
        <v>34</v>
      </c>
      <c r="AK72"/>
      <c r="BB72" s="2">
        <v>46211</v>
      </c>
      <c r="BC72">
        <v>280</v>
      </c>
      <c r="BD72">
        <v>152</v>
      </c>
    </row>
    <row r="73" spans="6:56" x14ac:dyDescent="0.3">
      <c r="F73" s="2">
        <v>46212</v>
      </c>
      <c r="G73">
        <v>9540</v>
      </c>
      <c r="H73">
        <v>240</v>
      </c>
      <c r="I73" s="2">
        <v>46212</v>
      </c>
      <c r="J73">
        <v>114566</v>
      </c>
      <c r="K73" s="5">
        <v>0.95471666666666666</v>
      </c>
      <c r="L73" s="2">
        <v>46212</v>
      </c>
      <c r="M73">
        <v>121</v>
      </c>
      <c r="N73" s="2">
        <v>46212</v>
      </c>
      <c r="V73" s="3">
        <v>33</v>
      </c>
      <c r="X73" s="2">
        <v>46173</v>
      </c>
      <c r="Y73">
        <v>33</v>
      </c>
      <c r="BB73" s="2">
        <v>46212</v>
      </c>
      <c r="BC73">
        <v>240</v>
      </c>
      <c r="BD73">
        <v>121</v>
      </c>
    </row>
    <row r="74" spans="6:56" x14ac:dyDescent="0.3">
      <c r="F74" s="2">
        <v>46213</v>
      </c>
      <c r="G74">
        <v>9780</v>
      </c>
      <c r="H74">
        <v>240</v>
      </c>
      <c r="I74" s="2">
        <v>46213</v>
      </c>
      <c r="J74">
        <v>114475</v>
      </c>
      <c r="K74" s="5">
        <v>0.95395833333333335</v>
      </c>
      <c r="L74" s="2">
        <v>46213</v>
      </c>
      <c r="M74">
        <v>91</v>
      </c>
      <c r="N74" s="2">
        <v>46213</v>
      </c>
      <c r="V74" s="3">
        <v>32</v>
      </c>
      <c r="X74" s="2">
        <v>46172</v>
      </c>
      <c r="Y74">
        <v>32</v>
      </c>
      <c r="BB74" s="2">
        <v>46213</v>
      </c>
      <c r="BC74">
        <v>240</v>
      </c>
      <c r="BD74">
        <v>91</v>
      </c>
    </row>
    <row r="75" spans="6:56" x14ac:dyDescent="0.3">
      <c r="F75" s="2">
        <v>46214</v>
      </c>
      <c r="G75">
        <v>10000</v>
      </c>
      <c r="H75">
        <v>220</v>
      </c>
      <c r="I75" s="2">
        <v>46214</v>
      </c>
      <c r="J75">
        <v>114384</v>
      </c>
      <c r="K75" s="5">
        <v>0.95320000000000005</v>
      </c>
      <c r="L75" s="2">
        <v>46214</v>
      </c>
      <c r="M75">
        <v>91</v>
      </c>
      <c r="N75" s="2">
        <v>46214</v>
      </c>
      <c r="V75" s="3">
        <v>31</v>
      </c>
      <c r="X75" s="2">
        <v>46171</v>
      </c>
      <c r="Y75">
        <v>31</v>
      </c>
      <c r="BB75" s="2">
        <v>46214</v>
      </c>
      <c r="BC75">
        <v>220</v>
      </c>
      <c r="BD75">
        <v>91</v>
      </c>
    </row>
    <row r="76" spans="6:56" x14ac:dyDescent="0.3">
      <c r="F76" s="2">
        <v>46215</v>
      </c>
      <c r="G76">
        <v>10200</v>
      </c>
      <c r="H76">
        <v>200</v>
      </c>
      <c r="I76" s="2">
        <v>46215</v>
      </c>
      <c r="J76">
        <v>114306</v>
      </c>
      <c r="K76" s="5">
        <v>0.95255000000000001</v>
      </c>
      <c r="L76" s="2">
        <v>46215</v>
      </c>
      <c r="M76">
        <v>78</v>
      </c>
      <c r="N76" s="2">
        <v>46215</v>
      </c>
      <c r="V76" s="3">
        <v>30</v>
      </c>
      <c r="X76" s="2">
        <v>46170</v>
      </c>
      <c r="Y76">
        <v>30</v>
      </c>
      <c r="BB76" s="2">
        <v>46215</v>
      </c>
      <c r="BC76">
        <v>200</v>
      </c>
      <c r="BD76">
        <v>78</v>
      </c>
    </row>
    <row r="77" spans="6:56" x14ac:dyDescent="0.3">
      <c r="F77" s="2">
        <v>46216</v>
      </c>
      <c r="G77">
        <v>10400</v>
      </c>
      <c r="H77">
        <v>200</v>
      </c>
      <c r="I77" s="2">
        <v>46216</v>
      </c>
      <c r="J77">
        <v>114229</v>
      </c>
      <c r="K77" s="5">
        <v>0.95190833333333336</v>
      </c>
      <c r="L77" s="2">
        <v>46216</v>
      </c>
      <c r="M77">
        <v>77</v>
      </c>
      <c r="N77" s="2">
        <v>46216</v>
      </c>
      <c r="V77" s="3">
        <v>29</v>
      </c>
      <c r="X77" s="2">
        <v>46169</v>
      </c>
      <c r="Y77">
        <v>29</v>
      </c>
      <c r="BB77" s="2">
        <v>46216</v>
      </c>
      <c r="BC77">
        <v>200</v>
      </c>
      <c r="BD77">
        <v>77</v>
      </c>
    </row>
    <row r="78" spans="6:56" x14ac:dyDescent="0.3">
      <c r="F78" s="2">
        <v>46217</v>
      </c>
      <c r="G78">
        <v>10560</v>
      </c>
      <c r="H78">
        <v>160</v>
      </c>
      <c r="I78" s="2">
        <v>46217</v>
      </c>
      <c r="J78">
        <v>114131</v>
      </c>
      <c r="K78" s="5">
        <v>0.95109166666666667</v>
      </c>
      <c r="L78" s="2">
        <v>46217</v>
      </c>
      <c r="M78">
        <v>98</v>
      </c>
      <c r="N78" s="2">
        <v>46217</v>
      </c>
      <c r="V78" s="3">
        <v>28</v>
      </c>
      <c r="X78" s="2">
        <v>46168</v>
      </c>
      <c r="Y78">
        <v>28</v>
      </c>
      <c r="BB78" s="2">
        <v>46217</v>
      </c>
      <c r="BC78">
        <v>160</v>
      </c>
      <c r="BD78">
        <v>98</v>
      </c>
    </row>
    <row r="79" spans="6:56" x14ac:dyDescent="0.3">
      <c r="F79" s="2">
        <v>46218</v>
      </c>
      <c r="G79">
        <v>10720</v>
      </c>
      <c r="H79">
        <v>160</v>
      </c>
      <c r="I79" s="2">
        <v>46218</v>
      </c>
      <c r="J79">
        <v>114087</v>
      </c>
      <c r="K79" s="5">
        <v>0.95072500000000004</v>
      </c>
      <c r="L79" s="2">
        <v>46218</v>
      </c>
      <c r="M79">
        <v>44</v>
      </c>
      <c r="N79" s="2">
        <v>46218</v>
      </c>
      <c r="V79" s="3">
        <v>27</v>
      </c>
      <c r="X79" s="2">
        <v>46167</v>
      </c>
      <c r="Y79">
        <v>27</v>
      </c>
      <c r="BB79" s="2">
        <v>46218</v>
      </c>
      <c r="BC79">
        <v>160</v>
      </c>
      <c r="BD79">
        <v>44</v>
      </c>
    </row>
    <row r="80" spans="6:56" x14ac:dyDescent="0.3">
      <c r="F80" s="2">
        <v>46219</v>
      </c>
      <c r="G80">
        <v>10920</v>
      </c>
      <c r="H80">
        <v>200</v>
      </c>
      <c r="I80" s="2">
        <v>46219</v>
      </c>
      <c r="J80">
        <v>114035</v>
      </c>
      <c r="K80" s="5">
        <v>0.95029166666666665</v>
      </c>
      <c r="L80" s="2">
        <v>46219</v>
      </c>
      <c r="M80">
        <v>52</v>
      </c>
      <c r="N80" s="2">
        <v>46219</v>
      </c>
      <c r="V80" s="3">
        <v>26</v>
      </c>
      <c r="X80" s="2">
        <v>46166</v>
      </c>
      <c r="Y80">
        <v>26</v>
      </c>
      <c r="BB80" s="2">
        <v>46219</v>
      </c>
      <c r="BC80">
        <v>200</v>
      </c>
      <c r="BD80">
        <v>52</v>
      </c>
    </row>
    <row r="81" spans="6:56" x14ac:dyDescent="0.3">
      <c r="F81" s="2">
        <v>46220</v>
      </c>
      <c r="G81">
        <v>11000</v>
      </c>
      <c r="H81">
        <v>80</v>
      </c>
      <c r="I81" s="2">
        <v>46220</v>
      </c>
      <c r="J81">
        <v>114012</v>
      </c>
      <c r="K81" s="5">
        <v>0.95009999999999994</v>
      </c>
      <c r="L81" s="2">
        <v>46220</v>
      </c>
      <c r="M81">
        <v>23</v>
      </c>
      <c r="N81" s="2">
        <v>46220</v>
      </c>
      <c r="V81" s="3">
        <v>25</v>
      </c>
      <c r="X81" s="2">
        <v>46165</v>
      </c>
      <c r="Y81">
        <v>25</v>
      </c>
      <c r="BB81" s="2">
        <v>46220</v>
      </c>
      <c r="BC81">
        <v>80</v>
      </c>
      <c r="BD81">
        <v>23</v>
      </c>
    </row>
    <row r="82" spans="6:56" x14ac:dyDescent="0.3">
      <c r="F82" s="2">
        <v>46221</v>
      </c>
      <c r="G82">
        <v>11020</v>
      </c>
      <c r="H82">
        <v>20</v>
      </c>
      <c r="I82" s="2">
        <v>46221</v>
      </c>
      <c r="J82">
        <v>113997</v>
      </c>
      <c r="K82" s="5">
        <v>0.94997500000000001</v>
      </c>
      <c r="L82" s="2">
        <v>46221</v>
      </c>
      <c r="M82">
        <v>15</v>
      </c>
      <c r="N82" s="2">
        <v>46221</v>
      </c>
      <c r="V82" s="3">
        <v>24</v>
      </c>
      <c r="X82" s="2">
        <v>46164</v>
      </c>
      <c r="Y82">
        <v>24</v>
      </c>
      <c r="BB82" s="2">
        <v>46221</v>
      </c>
      <c r="BC82">
        <v>20</v>
      </c>
      <c r="BD82">
        <v>15</v>
      </c>
    </row>
    <row r="83" spans="6:56" x14ac:dyDescent="0.3">
      <c r="F83" s="2">
        <v>46222</v>
      </c>
      <c r="G83">
        <v>11080</v>
      </c>
      <c r="H83">
        <v>60</v>
      </c>
      <c r="I83" s="2">
        <v>46222</v>
      </c>
      <c r="J83">
        <v>113994</v>
      </c>
      <c r="K83" s="5">
        <v>0.94994999999999996</v>
      </c>
      <c r="L83" s="2">
        <v>46222</v>
      </c>
      <c r="M83">
        <v>3</v>
      </c>
      <c r="N83" s="2">
        <v>46222</v>
      </c>
      <c r="V83" s="3">
        <v>23</v>
      </c>
      <c r="W83">
        <v>0.38640070448576441</v>
      </c>
      <c r="X83" s="2">
        <v>46163</v>
      </c>
      <c r="Y83">
        <v>23</v>
      </c>
      <c r="BB83" s="2">
        <v>46222</v>
      </c>
      <c r="BC83">
        <v>60</v>
      </c>
      <c r="BD83">
        <v>3</v>
      </c>
    </row>
    <row r="84" spans="6:56" x14ac:dyDescent="0.3">
      <c r="F84" s="2">
        <v>46223</v>
      </c>
      <c r="G84">
        <v>11280</v>
      </c>
      <c r="H84">
        <v>200</v>
      </c>
      <c r="I84" s="2">
        <v>46223</v>
      </c>
      <c r="J84">
        <v>113980</v>
      </c>
      <c r="K84" s="5">
        <v>0.94983333333333331</v>
      </c>
      <c r="L84" s="2">
        <v>46223</v>
      </c>
      <c r="M84">
        <v>14</v>
      </c>
      <c r="N84" s="2">
        <v>46223</v>
      </c>
      <c r="V84" s="3">
        <v>22</v>
      </c>
      <c r="X84" s="2">
        <v>46162</v>
      </c>
      <c r="Y84">
        <v>22</v>
      </c>
      <c r="BB84" s="2">
        <v>46223</v>
      </c>
      <c r="BC84">
        <v>200</v>
      </c>
      <c r="BD84">
        <v>14</v>
      </c>
    </row>
    <row r="85" spans="6:56" x14ac:dyDescent="0.3">
      <c r="F85" s="2">
        <v>46224</v>
      </c>
      <c r="G85">
        <v>11520</v>
      </c>
      <c r="H85">
        <v>240</v>
      </c>
      <c r="I85" s="2">
        <v>46224</v>
      </c>
      <c r="J85">
        <v>113963</v>
      </c>
      <c r="K85" s="5">
        <v>0.94969166666666671</v>
      </c>
      <c r="L85" s="2">
        <v>46224</v>
      </c>
      <c r="M85">
        <v>17</v>
      </c>
      <c r="N85" s="2">
        <v>46224</v>
      </c>
      <c r="V85" s="3">
        <v>21</v>
      </c>
      <c r="X85" s="2">
        <v>46161</v>
      </c>
      <c r="Y85">
        <v>21</v>
      </c>
      <c r="BB85" s="2">
        <v>46224</v>
      </c>
      <c r="BC85">
        <v>240</v>
      </c>
      <c r="BD85">
        <v>17</v>
      </c>
    </row>
    <row r="86" spans="6:56" x14ac:dyDescent="0.3">
      <c r="F86" s="2">
        <v>46225</v>
      </c>
      <c r="G86">
        <v>11760</v>
      </c>
      <c r="H86">
        <v>240</v>
      </c>
      <c r="I86" s="2">
        <v>46225</v>
      </c>
      <c r="J86">
        <v>113927</v>
      </c>
      <c r="K86" s="5">
        <v>0.94939166666666663</v>
      </c>
      <c r="L86" s="2">
        <v>46225</v>
      </c>
      <c r="M86">
        <v>36</v>
      </c>
      <c r="N86" s="2">
        <v>46225</v>
      </c>
      <c r="V86" s="3">
        <v>20</v>
      </c>
      <c r="X86" s="2">
        <v>46160</v>
      </c>
      <c r="Y86">
        <v>20</v>
      </c>
      <c r="BB86" s="2">
        <v>46225</v>
      </c>
      <c r="BC86">
        <v>240</v>
      </c>
      <c r="BD86">
        <v>36</v>
      </c>
    </row>
    <row r="87" spans="6:56" x14ac:dyDescent="0.3">
      <c r="F87" s="2">
        <v>46226</v>
      </c>
      <c r="G87">
        <v>12040</v>
      </c>
      <c r="H87">
        <v>280</v>
      </c>
      <c r="I87" s="2">
        <v>46226</v>
      </c>
      <c r="J87">
        <v>113869</v>
      </c>
      <c r="K87" s="5">
        <v>0.94890833333333335</v>
      </c>
      <c r="L87" s="2">
        <v>46226</v>
      </c>
      <c r="M87">
        <v>58</v>
      </c>
      <c r="N87" s="2">
        <v>46226</v>
      </c>
      <c r="V87" s="3">
        <v>19</v>
      </c>
      <c r="X87" s="2">
        <v>46159</v>
      </c>
      <c r="Y87">
        <v>19</v>
      </c>
      <c r="BB87" s="2">
        <v>46226</v>
      </c>
      <c r="BC87">
        <v>280</v>
      </c>
      <c r="BD87">
        <v>58</v>
      </c>
    </row>
    <row r="88" spans="6:56" x14ac:dyDescent="0.3">
      <c r="F88" s="2">
        <v>46227</v>
      </c>
      <c r="G88">
        <v>12280</v>
      </c>
      <c r="H88">
        <v>240</v>
      </c>
      <c r="I88" s="2">
        <v>46227</v>
      </c>
      <c r="J88">
        <v>113838</v>
      </c>
      <c r="K88" s="5">
        <v>0.94864999999999999</v>
      </c>
      <c r="L88" s="2">
        <v>46227</v>
      </c>
      <c r="M88">
        <v>31</v>
      </c>
      <c r="N88" s="2">
        <v>46227</v>
      </c>
      <c r="V88" s="3">
        <v>18</v>
      </c>
      <c r="X88" s="2">
        <v>46158</v>
      </c>
      <c r="Y88">
        <v>18</v>
      </c>
      <c r="BB88" s="2">
        <v>46227</v>
      </c>
      <c r="BC88">
        <v>240</v>
      </c>
      <c r="BD88">
        <v>31</v>
      </c>
    </row>
    <row r="89" spans="6:56" x14ac:dyDescent="0.3">
      <c r="F89" s="2">
        <v>46228</v>
      </c>
      <c r="G89">
        <v>12560</v>
      </c>
      <c r="H89">
        <v>280</v>
      </c>
      <c r="I89" s="2">
        <v>46228</v>
      </c>
      <c r="J89">
        <v>113814</v>
      </c>
      <c r="K89" s="5">
        <v>0.94845000000000002</v>
      </c>
      <c r="L89" s="2">
        <v>46228</v>
      </c>
      <c r="M89">
        <v>24</v>
      </c>
      <c r="N89" s="2">
        <v>46228</v>
      </c>
      <c r="V89" s="3">
        <v>17</v>
      </c>
      <c r="X89" s="2">
        <v>46157</v>
      </c>
      <c r="Y89">
        <v>17</v>
      </c>
      <c r="BB89" s="2">
        <v>46228</v>
      </c>
      <c r="BC89">
        <v>280</v>
      </c>
      <c r="BD89">
        <v>24</v>
      </c>
    </row>
    <row r="90" spans="6:56" x14ac:dyDescent="0.3">
      <c r="F90" s="2">
        <v>46229</v>
      </c>
      <c r="G90">
        <v>12800</v>
      </c>
      <c r="H90">
        <v>240</v>
      </c>
      <c r="I90" s="2">
        <v>46229</v>
      </c>
      <c r="J90">
        <v>113769</v>
      </c>
      <c r="K90" s="5">
        <v>0.948075</v>
      </c>
      <c r="L90" s="2">
        <v>46229</v>
      </c>
      <c r="M90">
        <v>45</v>
      </c>
      <c r="N90" s="2">
        <v>46229</v>
      </c>
      <c r="V90" s="3">
        <v>16</v>
      </c>
      <c r="X90" s="2">
        <v>46156</v>
      </c>
      <c r="Y90">
        <v>16</v>
      </c>
      <c r="BB90" s="2">
        <v>46229</v>
      </c>
      <c r="BC90">
        <v>240</v>
      </c>
      <c r="BD90">
        <v>45</v>
      </c>
    </row>
    <row r="91" spans="6:56" x14ac:dyDescent="0.3">
      <c r="F91" s="2">
        <v>46230</v>
      </c>
      <c r="G91">
        <v>13100</v>
      </c>
      <c r="H91">
        <v>300</v>
      </c>
      <c r="I91" s="2">
        <v>46230</v>
      </c>
      <c r="J91">
        <v>113738</v>
      </c>
      <c r="K91" s="5">
        <v>0.94781666666666664</v>
      </c>
      <c r="L91" s="2">
        <v>46230</v>
      </c>
      <c r="M91">
        <v>31</v>
      </c>
      <c r="N91" s="2">
        <v>46230</v>
      </c>
      <c r="V91" s="3">
        <v>15</v>
      </c>
      <c r="X91" s="2">
        <v>46155</v>
      </c>
      <c r="Y91">
        <v>15</v>
      </c>
      <c r="BB91" s="2">
        <v>46230</v>
      </c>
      <c r="BC91">
        <v>300</v>
      </c>
      <c r="BD91">
        <v>31</v>
      </c>
    </row>
    <row r="92" spans="6:56" x14ac:dyDescent="0.3">
      <c r="F92" s="2">
        <v>46231</v>
      </c>
      <c r="G92">
        <v>13420</v>
      </c>
      <c r="H92">
        <v>320</v>
      </c>
      <c r="I92" s="2">
        <v>46231</v>
      </c>
      <c r="J92">
        <v>113723</v>
      </c>
      <c r="K92" s="5">
        <v>0.94769166666666671</v>
      </c>
      <c r="L92" s="2">
        <v>46231</v>
      </c>
      <c r="M92">
        <v>15</v>
      </c>
      <c r="N92" s="2">
        <v>46231</v>
      </c>
      <c r="V92" s="3">
        <v>14</v>
      </c>
      <c r="X92" s="2">
        <v>46154</v>
      </c>
      <c r="Y92">
        <v>14</v>
      </c>
      <c r="BB92" s="2">
        <v>46231</v>
      </c>
      <c r="BC92">
        <v>320</v>
      </c>
      <c r="BD92">
        <v>15</v>
      </c>
    </row>
    <row r="93" spans="6:56" x14ac:dyDescent="0.3">
      <c r="F93" s="2">
        <v>46232</v>
      </c>
      <c r="G93">
        <v>13740</v>
      </c>
      <c r="H93">
        <v>320</v>
      </c>
      <c r="I93" s="2">
        <v>46232</v>
      </c>
      <c r="J93">
        <v>113680</v>
      </c>
      <c r="K93" s="5">
        <v>0.94733333333333336</v>
      </c>
      <c r="L93" s="2">
        <v>46232</v>
      </c>
      <c r="M93">
        <v>43</v>
      </c>
      <c r="N93" s="2">
        <v>46232</v>
      </c>
      <c r="V93" s="3">
        <v>13</v>
      </c>
      <c r="X93" s="2">
        <v>46153</v>
      </c>
      <c r="Y93">
        <v>13</v>
      </c>
      <c r="BB93" s="2">
        <v>46232</v>
      </c>
      <c r="BC93">
        <v>320</v>
      </c>
      <c r="BD93">
        <v>43</v>
      </c>
    </row>
    <row r="94" spans="6:56" x14ac:dyDescent="0.3">
      <c r="F94" s="2">
        <v>46233</v>
      </c>
      <c r="G94">
        <v>14060</v>
      </c>
      <c r="H94">
        <v>320</v>
      </c>
      <c r="I94" s="2">
        <v>46233</v>
      </c>
      <c r="J94">
        <v>113629</v>
      </c>
      <c r="K94" s="5">
        <v>0.94690833333333335</v>
      </c>
      <c r="L94" s="2">
        <v>46233</v>
      </c>
      <c r="M94">
        <v>51</v>
      </c>
      <c r="N94" s="2">
        <v>46233</v>
      </c>
      <c r="V94" s="3">
        <v>12</v>
      </c>
      <c r="W94">
        <v>0.30180833494018328</v>
      </c>
      <c r="X94" s="2">
        <v>46152</v>
      </c>
      <c r="Y94">
        <v>12</v>
      </c>
      <c r="BB94" s="2">
        <v>46233</v>
      </c>
      <c r="BC94">
        <v>320</v>
      </c>
      <c r="BD94">
        <v>51</v>
      </c>
    </row>
    <row r="95" spans="6:56" x14ac:dyDescent="0.3">
      <c r="F95" s="2">
        <v>46234</v>
      </c>
      <c r="G95">
        <v>14420</v>
      </c>
      <c r="H95">
        <v>360</v>
      </c>
      <c r="I95" s="2">
        <v>46234</v>
      </c>
      <c r="J95">
        <v>113593</v>
      </c>
      <c r="K95" s="5">
        <v>0.94660833333333338</v>
      </c>
      <c r="L95" s="2">
        <v>46234</v>
      </c>
      <c r="M95">
        <v>36</v>
      </c>
      <c r="N95" s="2">
        <v>46234</v>
      </c>
      <c r="V95" s="3">
        <v>11</v>
      </c>
      <c r="X95" s="2">
        <v>46151</v>
      </c>
      <c r="Y95">
        <v>11</v>
      </c>
      <c r="BB95" s="2">
        <v>46234</v>
      </c>
      <c r="BC95">
        <v>360</v>
      </c>
      <c r="BD95">
        <v>36</v>
      </c>
    </row>
    <row r="96" spans="6:56" x14ac:dyDescent="0.3">
      <c r="F96" s="2">
        <v>46235</v>
      </c>
      <c r="G96">
        <v>14820</v>
      </c>
      <c r="H96">
        <v>400</v>
      </c>
      <c r="I96" s="2">
        <v>46235</v>
      </c>
      <c r="J96">
        <v>113538</v>
      </c>
      <c r="K96" s="5">
        <v>0.94615000000000005</v>
      </c>
      <c r="L96" s="2">
        <v>46235</v>
      </c>
      <c r="M96">
        <v>55</v>
      </c>
      <c r="N96" s="2">
        <v>46235</v>
      </c>
      <c r="O96">
        <v>133</v>
      </c>
      <c r="V96" s="3">
        <v>10</v>
      </c>
      <c r="X96" s="2">
        <v>46150</v>
      </c>
      <c r="Y96">
        <v>10</v>
      </c>
      <c r="BB96" s="2">
        <v>46235</v>
      </c>
      <c r="BC96">
        <v>400</v>
      </c>
      <c r="BD96">
        <v>55</v>
      </c>
    </row>
    <row r="97" spans="6:56" x14ac:dyDescent="0.3">
      <c r="F97" s="2">
        <v>46236</v>
      </c>
      <c r="G97">
        <v>15220</v>
      </c>
      <c r="H97">
        <v>400</v>
      </c>
      <c r="I97" s="2">
        <v>46236</v>
      </c>
      <c r="J97">
        <v>113519</v>
      </c>
      <c r="K97" s="5">
        <v>0.94599166666666668</v>
      </c>
      <c r="L97" s="2">
        <v>46236</v>
      </c>
      <c r="M97">
        <v>19</v>
      </c>
      <c r="N97" s="2">
        <v>46236</v>
      </c>
      <c r="O97">
        <v>134</v>
      </c>
      <c r="V97" s="3">
        <v>9</v>
      </c>
      <c r="X97" s="2">
        <v>46149</v>
      </c>
      <c r="Y97">
        <v>9</v>
      </c>
      <c r="BB97" s="2">
        <v>46236</v>
      </c>
      <c r="BC97">
        <v>400</v>
      </c>
      <c r="BD97">
        <v>19</v>
      </c>
    </row>
    <row r="98" spans="6:56" x14ac:dyDescent="0.3">
      <c r="F98" s="2">
        <v>46237</v>
      </c>
      <c r="G98">
        <v>15620</v>
      </c>
      <c r="H98">
        <v>400</v>
      </c>
      <c r="I98" s="2">
        <v>46237</v>
      </c>
      <c r="J98">
        <v>113473</v>
      </c>
      <c r="K98" s="5">
        <v>0.94560833333333338</v>
      </c>
      <c r="L98" s="2">
        <v>46237</v>
      </c>
      <c r="M98">
        <v>46</v>
      </c>
      <c r="N98" s="2">
        <v>46237</v>
      </c>
      <c r="O98">
        <v>136</v>
      </c>
      <c r="V98" s="3">
        <v>8</v>
      </c>
      <c r="X98" s="2">
        <v>46148</v>
      </c>
      <c r="Y98">
        <v>8</v>
      </c>
      <c r="BB98" s="2">
        <v>46237</v>
      </c>
      <c r="BC98">
        <v>400</v>
      </c>
      <c r="BD98">
        <v>46</v>
      </c>
    </row>
    <row r="99" spans="6:56" x14ac:dyDescent="0.3">
      <c r="F99" s="2">
        <v>46238</v>
      </c>
      <c r="G99">
        <v>16020</v>
      </c>
      <c r="H99">
        <v>400</v>
      </c>
      <c r="I99" s="2">
        <v>46238</v>
      </c>
      <c r="J99">
        <v>113443</v>
      </c>
      <c r="K99" s="5">
        <v>0.9453583333333333</v>
      </c>
      <c r="L99" s="2">
        <v>46238</v>
      </c>
      <c r="M99">
        <v>30</v>
      </c>
      <c r="N99" s="2">
        <v>46238</v>
      </c>
      <c r="V99" s="3">
        <v>7</v>
      </c>
      <c r="X99" s="2">
        <v>46147</v>
      </c>
      <c r="Y99">
        <v>7</v>
      </c>
      <c r="BB99" s="2">
        <v>46238</v>
      </c>
      <c r="BC99">
        <v>400</v>
      </c>
      <c r="BD99">
        <v>30</v>
      </c>
    </row>
    <row r="100" spans="6:56" x14ac:dyDescent="0.3">
      <c r="F100" s="2">
        <v>46239</v>
      </c>
      <c r="G100">
        <v>16340</v>
      </c>
      <c r="H100">
        <v>320</v>
      </c>
      <c r="I100" s="2">
        <v>46239</v>
      </c>
      <c r="J100">
        <v>113411</v>
      </c>
      <c r="K100" s="5">
        <v>0.94509166666666666</v>
      </c>
      <c r="L100" s="2">
        <v>46239</v>
      </c>
      <c r="M100">
        <v>32</v>
      </c>
      <c r="N100" s="2">
        <v>46239</v>
      </c>
      <c r="V100" s="3">
        <v>6</v>
      </c>
      <c r="X100" s="2">
        <v>46146</v>
      </c>
      <c r="Y100">
        <v>6</v>
      </c>
      <c r="BB100" s="2">
        <v>46239</v>
      </c>
      <c r="BC100">
        <v>320</v>
      </c>
      <c r="BD100">
        <v>32</v>
      </c>
    </row>
    <row r="101" spans="6:56" x14ac:dyDescent="0.3">
      <c r="F101" s="2">
        <v>46240</v>
      </c>
      <c r="G101">
        <v>16660</v>
      </c>
      <c r="H101">
        <v>320</v>
      </c>
      <c r="I101" s="2">
        <v>46240</v>
      </c>
      <c r="J101">
        <v>113371</v>
      </c>
      <c r="K101" s="5">
        <v>0.94475833333333337</v>
      </c>
      <c r="L101" s="2">
        <v>46240</v>
      </c>
      <c r="M101">
        <v>40</v>
      </c>
      <c r="N101" s="2">
        <v>46240</v>
      </c>
      <c r="V101" s="3">
        <v>5</v>
      </c>
      <c r="X101" s="2">
        <v>46145</v>
      </c>
      <c r="Y101">
        <v>5</v>
      </c>
      <c r="BB101" s="2">
        <v>46240</v>
      </c>
      <c r="BC101">
        <v>320</v>
      </c>
      <c r="BD101">
        <v>40</v>
      </c>
    </row>
    <row r="102" spans="6:56" x14ac:dyDescent="0.3">
      <c r="F102" s="2">
        <v>46241</v>
      </c>
      <c r="G102">
        <v>16980</v>
      </c>
      <c r="H102">
        <v>320</v>
      </c>
      <c r="I102" s="2">
        <v>46241</v>
      </c>
      <c r="J102">
        <v>113341</v>
      </c>
      <c r="K102" s="5">
        <v>0.94450833333333328</v>
      </c>
      <c r="L102" s="2">
        <v>46241</v>
      </c>
      <c r="M102">
        <v>30</v>
      </c>
      <c r="N102" s="2">
        <v>46241</v>
      </c>
      <c r="V102" s="3">
        <v>4</v>
      </c>
      <c r="X102" s="2">
        <v>46144</v>
      </c>
      <c r="Y102">
        <v>4</v>
      </c>
      <c r="BB102" s="2">
        <v>46241</v>
      </c>
      <c r="BC102">
        <v>320</v>
      </c>
      <c r="BD102">
        <v>30</v>
      </c>
    </row>
    <row r="103" spans="6:56" x14ac:dyDescent="0.3">
      <c r="F103" s="2">
        <v>46242</v>
      </c>
      <c r="G103">
        <v>17300</v>
      </c>
      <c r="H103">
        <v>320</v>
      </c>
      <c r="I103" s="2">
        <v>46242</v>
      </c>
      <c r="J103">
        <v>113285</v>
      </c>
      <c r="K103" s="5">
        <v>0.94404166666666667</v>
      </c>
      <c r="L103" s="2">
        <v>46242</v>
      </c>
      <c r="M103">
        <v>56</v>
      </c>
      <c r="N103" s="2">
        <v>46242</v>
      </c>
      <c r="V103" s="3">
        <v>3</v>
      </c>
      <c r="W103">
        <v>6.6672222685223766E-3</v>
      </c>
      <c r="X103" s="2">
        <v>46143</v>
      </c>
      <c r="Y103">
        <v>3</v>
      </c>
      <c r="BB103" s="2">
        <v>46242</v>
      </c>
      <c r="BC103">
        <v>320</v>
      </c>
      <c r="BD103">
        <v>56</v>
      </c>
    </row>
    <row r="104" spans="6:56" x14ac:dyDescent="0.3">
      <c r="F104" s="2">
        <v>46243</v>
      </c>
      <c r="G104">
        <v>17620</v>
      </c>
      <c r="H104">
        <v>320</v>
      </c>
      <c r="I104" s="2">
        <v>46243</v>
      </c>
      <c r="J104">
        <v>113259</v>
      </c>
      <c r="K104" s="5">
        <v>0.94382500000000003</v>
      </c>
      <c r="L104" s="2">
        <v>46243</v>
      </c>
      <c r="M104">
        <v>26</v>
      </c>
      <c r="N104" s="2">
        <v>46243</v>
      </c>
      <c r="V104" s="3">
        <v>2</v>
      </c>
      <c r="X104" s="2">
        <v>46142</v>
      </c>
      <c r="Y104">
        <v>2</v>
      </c>
      <c r="BB104" s="2">
        <v>46243</v>
      </c>
      <c r="BC104">
        <v>320</v>
      </c>
      <c r="BD104">
        <v>26</v>
      </c>
    </row>
    <row r="105" spans="6:56" x14ac:dyDescent="0.3">
      <c r="F105" s="2">
        <v>46244</v>
      </c>
      <c r="G105">
        <v>17940</v>
      </c>
      <c r="H105">
        <v>320</v>
      </c>
      <c r="I105" s="2">
        <v>46244</v>
      </c>
      <c r="J105">
        <v>113244</v>
      </c>
      <c r="K105" s="5">
        <v>0.94369999999999998</v>
      </c>
      <c r="L105" s="2">
        <v>46244</v>
      </c>
      <c r="M105">
        <v>15</v>
      </c>
      <c r="N105" s="2">
        <v>46244</v>
      </c>
      <c r="O105">
        <v>176</v>
      </c>
      <c r="V105" s="3">
        <v>1</v>
      </c>
      <c r="X105" s="2">
        <v>46141</v>
      </c>
      <c r="Y105">
        <v>1</v>
      </c>
      <c r="BB105" s="2">
        <v>46244</v>
      </c>
      <c r="BC105">
        <v>320</v>
      </c>
      <c r="BD105">
        <v>15</v>
      </c>
    </row>
    <row r="106" spans="6:56" x14ac:dyDescent="0.3">
      <c r="F106" s="3" t="s">
        <v>22</v>
      </c>
      <c r="G106">
        <v>673760</v>
      </c>
      <c r="H106">
        <v>17940</v>
      </c>
      <c r="I106" s="3" t="s">
        <v>22</v>
      </c>
      <c r="J106">
        <v>11888437</v>
      </c>
      <c r="K106" s="5">
        <v>99.070308333333415</v>
      </c>
      <c r="L106" s="3" t="s">
        <v>22</v>
      </c>
      <c r="M106">
        <v>6756</v>
      </c>
      <c r="N106" s="3" t="s">
        <v>22</v>
      </c>
      <c r="O106">
        <v>887</v>
      </c>
      <c r="V106" s="3" t="s">
        <v>22</v>
      </c>
      <c r="W106">
        <v>7.6792659897772086</v>
      </c>
      <c r="X106" s="3" t="s">
        <v>22</v>
      </c>
      <c r="Y106">
        <v>5460</v>
      </c>
      <c r="BB106" s="3" t="s">
        <v>22</v>
      </c>
      <c r="BC106">
        <v>17940</v>
      </c>
      <c r="BD106">
        <v>6756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EAC6-5347-4535-A369-51415F440800}">
  <dimension ref="A1"/>
  <sheetViews>
    <sheetView showGridLines="0" showRowColHeaders="0" tabSelected="1" zoomScale="60" zoomScaleNormal="60" workbookViewId="0">
      <selection activeCell="AD15" sqref="A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7197-3040-47C0-A512-4325D5FC7B5B}">
  <dimension ref="A1"/>
  <sheetViews>
    <sheetView showGridLines="0" showRowColHeaders="0" topLeftCell="A2" zoomScale="50" zoomScaleNormal="50" workbookViewId="0">
      <selection activeCell="J61" sqref="J6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D25577-4E87-4653-831C-53DAACE08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dashboard-cage2</vt:lpstr>
      <vt:lpstr>dashboard-cage3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ausin18_off02@hotmail.com</dc:creator>
  <cp:keywords/>
  <dc:description/>
  <cp:lastModifiedBy>ausin18_off02@hotmail.com</cp:lastModifiedBy>
  <cp:revision/>
  <dcterms:created xsi:type="dcterms:W3CDTF">2026-08-05T10:55:01Z</dcterms:created>
  <dcterms:modified xsi:type="dcterms:W3CDTF">2026-08-12T14:09:55Z</dcterms:modified>
  <cp:category/>
  <cp:contentStatus/>
</cp:coreProperties>
</file>